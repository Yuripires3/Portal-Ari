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ri.oliveira\Downloads\"/>
    </mc:Choice>
  </mc:AlternateContent>
  <xr:revisionPtr revIDLastSave="0" documentId="8_{3949330D-0895-464F-8575-C17469D5513E}" xr6:coauthVersionLast="47" xr6:coauthVersionMax="47" xr10:uidLastSave="{00000000-0000-0000-0000-000000000000}"/>
  <bookViews>
    <workbookView xWindow="-96" yWindow="-96" windowWidth="23232" windowHeight="13152" tabRatio="778" activeTab="5" xr2:uid="{D2E758E0-F57D-4481-904A-13AE520BDE8B}"/>
  </bookViews>
  <sheets>
    <sheet name="Relatório Indicadores 21" sheetId="1" r:id="rId1"/>
    <sheet name="Relatório Indicadores 22" sheetId="2" r:id="rId2"/>
    <sheet name="Relatório Indicadores 23" sheetId="3" r:id="rId3"/>
    <sheet name="Relatório Indicadores 24" sheetId="4" r:id="rId4"/>
    <sheet name="Relatório Indicadores 25" sheetId="5" r:id="rId5"/>
    <sheet name="Relatório Indicadores 2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11" i="6" l="1"/>
  <c r="I11" i="6"/>
  <c r="M11" i="6"/>
  <c r="P11" i="6"/>
  <c r="H12" i="6"/>
  <c r="F14" i="6"/>
  <c r="F29" i="6" s="1"/>
  <c r="H14" i="6"/>
  <c r="I14" i="6"/>
  <c r="J11" i="6" s="1"/>
  <c r="J14" i="6"/>
  <c r="K11" i="6" s="1"/>
  <c r="K12" i="6" s="1"/>
  <c r="K14" i="6"/>
  <c r="L14" i="6"/>
  <c r="M14" i="6"/>
  <c r="M12" i="6" s="1"/>
  <c r="N14" i="6"/>
  <c r="O14" i="6"/>
  <c r="P14" i="6"/>
  <c r="P12" i="6" s="1"/>
  <c r="Q14" i="6"/>
  <c r="F17" i="6"/>
  <c r="F264" i="6" s="1"/>
  <c r="F266" i="6" s="1"/>
  <c r="H17" i="6"/>
  <c r="I17" i="6"/>
  <c r="J17" i="6"/>
  <c r="J19" i="6" s="1"/>
  <c r="K17" i="6"/>
  <c r="L17" i="6"/>
  <c r="L11" i="6" s="1"/>
  <c r="L12" i="6" s="1"/>
  <c r="M17" i="6"/>
  <c r="M19" i="6" s="1"/>
  <c r="N17" i="6"/>
  <c r="N19" i="6" s="1"/>
  <c r="O17" i="6"/>
  <c r="O19" i="6" s="1"/>
  <c r="P17" i="6"/>
  <c r="Q17" i="6"/>
  <c r="G19" i="6"/>
  <c r="H19" i="6"/>
  <c r="I19" i="6"/>
  <c r="K19" i="6"/>
  <c r="P19" i="6"/>
  <c r="F27" i="6"/>
  <c r="H27" i="6"/>
  <c r="I27" i="6"/>
  <c r="J27" i="6"/>
  <c r="K27" i="6"/>
  <c r="L27" i="6"/>
  <c r="M27" i="6"/>
  <c r="N27" i="6"/>
  <c r="O27" i="6"/>
  <c r="P27" i="6"/>
  <c r="Q27" i="6"/>
  <c r="H29" i="6"/>
  <c r="J29" i="6"/>
  <c r="K29" i="6"/>
  <c r="L29" i="6"/>
  <c r="M29" i="6"/>
  <c r="O29" i="6"/>
  <c r="Q29" i="6"/>
  <c r="F34" i="6"/>
  <c r="F37" i="6"/>
  <c r="G37" i="6"/>
  <c r="H33" i="6" s="1"/>
  <c r="H37" i="6"/>
  <c r="H34" i="6" s="1"/>
  <c r="I37" i="6"/>
  <c r="J37" i="6"/>
  <c r="K37" i="6"/>
  <c r="L37" i="6"/>
  <c r="M37" i="6"/>
  <c r="N33" i="6" s="1"/>
  <c r="N37" i="6"/>
  <c r="O37" i="6"/>
  <c r="P33" i="6" s="1"/>
  <c r="P37" i="6"/>
  <c r="P34" i="6" s="1"/>
  <c r="Q37" i="6"/>
  <c r="F40" i="6"/>
  <c r="G40" i="6"/>
  <c r="H40" i="6"/>
  <c r="H42" i="6" s="1"/>
  <c r="I40" i="6"/>
  <c r="J40" i="6"/>
  <c r="J42" i="6" s="1"/>
  <c r="K40" i="6"/>
  <c r="K42" i="6" s="1"/>
  <c r="L40" i="6"/>
  <c r="L42" i="6" s="1"/>
  <c r="M40" i="6"/>
  <c r="N40" i="6"/>
  <c r="O40" i="6"/>
  <c r="O33" i="6" s="1"/>
  <c r="P40" i="6"/>
  <c r="Q40" i="6"/>
  <c r="Q42" i="6" s="1"/>
  <c r="F42" i="6"/>
  <c r="G42" i="6"/>
  <c r="P42" i="6"/>
  <c r="F50" i="6"/>
  <c r="G50" i="6"/>
  <c r="H50" i="6"/>
  <c r="I50" i="6"/>
  <c r="J50" i="6"/>
  <c r="K50" i="6"/>
  <c r="L50" i="6"/>
  <c r="M50" i="6"/>
  <c r="N50" i="6"/>
  <c r="O50" i="6"/>
  <c r="P50" i="6"/>
  <c r="Q50" i="6"/>
  <c r="F52" i="6"/>
  <c r="G52" i="6"/>
  <c r="H52" i="6"/>
  <c r="I52" i="6"/>
  <c r="J52" i="6"/>
  <c r="K52" i="6"/>
  <c r="L52" i="6"/>
  <c r="M52" i="6"/>
  <c r="N52" i="6"/>
  <c r="O52" i="6"/>
  <c r="P52" i="6"/>
  <c r="Q52" i="6"/>
  <c r="J56" i="6"/>
  <c r="O56" i="6"/>
  <c r="N58" i="6"/>
  <c r="N59" i="6" s="1"/>
  <c r="F62" i="6"/>
  <c r="G67" i="6" s="1"/>
  <c r="G62" i="6"/>
  <c r="H62" i="6"/>
  <c r="I62" i="6"/>
  <c r="J62" i="6"/>
  <c r="K67" i="6" s="1"/>
  <c r="K62" i="6"/>
  <c r="L62" i="6"/>
  <c r="M62" i="6"/>
  <c r="N62" i="6"/>
  <c r="O67" i="6" s="1"/>
  <c r="O62" i="6"/>
  <c r="P67" i="6" s="1"/>
  <c r="P62" i="6"/>
  <c r="Q62" i="6"/>
  <c r="F65" i="6"/>
  <c r="F67" i="6" s="1"/>
  <c r="G65" i="6"/>
  <c r="H65" i="6"/>
  <c r="I65" i="6"/>
  <c r="J65" i="6"/>
  <c r="J67" i="6" s="1"/>
  <c r="K65" i="6"/>
  <c r="L65" i="6"/>
  <c r="L67" i="6" s="1"/>
  <c r="M65" i="6"/>
  <c r="M67" i="6" s="1"/>
  <c r="N65" i="6"/>
  <c r="N67" i="6" s="1"/>
  <c r="O65" i="6"/>
  <c r="P65" i="6"/>
  <c r="Q65" i="6"/>
  <c r="Q67" i="6" s="1"/>
  <c r="H67" i="6"/>
  <c r="I67" i="6"/>
  <c r="F75" i="6"/>
  <c r="G75" i="6"/>
  <c r="H75" i="6"/>
  <c r="I75" i="6"/>
  <c r="J75" i="6"/>
  <c r="K75" i="6"/>
  <c r="L75" i="6"/>
  <c r="M75" i="6"/>
  <c r="N75" i="6"/>
  <c r="O75" i="6"/>
  <c r="P75" i="6"/>
  <c r="Q75" i="6"/>
  <c r="F77" i="6"/>
  <c r="G77" i="6"/>
  <c r="H77" i="6"/>
  <c r="I77" i="6"/>
  <c r="J77" i="6"/>
  <c r="K77" i="6"/>
  <c r="L77" i="6"/>
  <c r="M77" i="6"/>
  <c r="N77" i="6"/>
  <c r="O77" i="6"/>
  <c r="P77" i="6"/>
  <c r="Q77" i="6"/>
  <c r="F83" i="6"/>
  <c r="G83" i="6"/>
  <c r="H83" i="6"/>
  <c r="I83" i="6"/>
  <c r="J83" i="6"/>
  <c r="K88" i="6" s="1"/>
  <c r="K83" i="6"/>
  <c r="L83" i="6"/>
  <c r="M83" i="6"/>
  <c r="N83" i="6"/>
  <c r="O88" i="6" s="1"/>
  <c r="O83" i="6"/>
  <c r="P83" i="6"/>
  <c r="Q83" i="6"/>
  <c r="F86" i="6"/>
  <c r="G86" i="6"/>
  <c r="G88" i="6" s="1"/>
  <c r="H86" i="6"/>
  <c r="H88" i="6" s="1"/>
  <c r="I86" i="6"/>
  <c r="I88" i="6" s="1"/>
  <c r="J86" i="6"/>
  <c r="J88" i="6" s="1"/>
  <c r="K86" i="6"/>
  <c r="L86" i="6"/>
  <c r="M86" i="6"/>
  <c r="N86" i="6"/>
  <c r="N88" i="6" s="1"/>
  <c r="O86" i="6"/>
  <c r="P86" i="6"/>
  <c r="P88" i="6" s="1"/>
  <c r="Q86" i="6"/>
  <c r="Q88" i="6" s="1"/>
  <c r="F88" i="6"/>
  <c r="L88" i="6"/>
  <c r="M88" i="6"/>
  <c r="F96" i="6"/>
  <c r="G96" i="6"/>
  <c r="H96" i="6"/>
  <c r="I96" i="6"/>
  <c r="J96" i="6"/>
  <c r="K96" i="6"/>
  <c r="L96" i="6"/>
  <c r="M96" i="6"/>
  <c r="N96" i="6"/>
  <c r="O96" i="6"/>
  <c r="P96" i="6"/>
  <c r="Q96" i="6"/>
  <c r="F98" i="6"/>
  <c r="G98" i="6"/>
  <c r="H98" i="6"/>
  <c r="I98" i="6"/>
  <c r="J98" i="6"/>
  <c r="K98" i="6"/>
  <c r="L98" i="6"/>
  <c r="M98" i="6"/>
  <c r="N98" i="6"/>
  <c r="O98" i="6"/>
  <c r="P98" i="6"/>
  <c r="Q98" i="6"/>
  <c r="F104" i="6"/>
  <c r="G109" i="6" s="1"/>
  <c r="G104" i="6"/>
  <c r="H109" i="6" s="1"/>
  <c r="H104" i="6"/>
  <c r="I104" i="6"/>
  <c r="J104" i="6"/>
  <c r="K104" i="6"/>
  <c r="L104" i="6"/>
  <c r="M104" i="6"/>
  <c r="N104" i="6"/>
  <c r="O109" i="6" s="1"/>
  <c r="O104" i="6"/>
  <c r="P104" i="6"/>
  <c r="Q104" i="6"/>
  <c r="F107" i="6"/>
  <c r="F109" i="6" s="1"/>
  <c r="G107" i="6"/>
  <c r="H107" i="6"/>
  <c r="I107" i="6"/>
  <c r="I109" i="6" s="1"/>
  <c r="J107" i="6"/>
  <c r="K107" i="6"/>
  <c r="K109" i="6" s="1"/>
  <c r="L107" i="6"/>
  <c r="L109" i="6" s="1"/>
  <c r="M107" i="6"/>
  <c r="M109" i="6" s="1"/>
  <c r="N107" i="6"/>
  <c r="N109" i="6" s="1"/>
  <c r="O107" i="6"/>
  <c r="P107" i="6"/>
  <c r="Q107" i="6"/>
  <c r="J109" i="6"/>
  <c r="P109" i="6"/>
  <c r="Q109" i="6"/>
  <c r="F117" i="6"/>
  <c r="G117" i="6"/>
  <c r="H117" i="6"/>
  <c r="I117" i="6"/>
  <c r="J117" i="6"/>
  <c r="K117" i="6"/>
  <c r="L117" i="6"/>
  <c r="M117" i="6"/>
  <c r="N117" i="6"/>
  <c r="O117" i="6"/>
  <c r="P117" i="6"/>
  <c r="Q117" i="6"/>
  <c r="F119" i="6"/>
  <c r="G119" i="6"/>
  <c r="H119" i="6"/>
  <c r="I119" i="6"/>
  <c r="J119" i="6"/>
  <c r="K119" i="6"/>
  <c r="L119" i="6"/>
  <c r="M119" i="6"/>
  <c r="N119" i="6"/>
  <c r="O119" i="6"/>
  <c r="P119" i="6"/>
  <c r="Q119" i="6"/>
  <c r="F125" i="6"/>
  <c r="G130" i="6" s="1"/>
  <c r="G125" i="6"/>
  <c r="H125" i="6"/>
  <c r="I125" i="6"/>
  <c r="J125" i="6"/>
  <c r="K130" i="6" s="1"/>
  <c r="K125" i="6"/>
  <c r="L130" i="6" s="1"/>
  <c r="L125" i="6"/>
  <c r="M125" i="6"/>
  <c r="N125" i="6"/>
  <c r="O125" i="6"/>
  <c r="P125" i="6"/>
  <c r="Q125" i="6"/>
  <c r="F128" i="6"/>
  <c r="F130" i="6" s="1"/>
  <c r="G128" i="6"/>
  <c r="H128" i="6"/>
  <c r="H130" i="6" s="1"/>
  <c r="I128" i="6"/>
  <c r="I130" i="6" s="1"/>
  <c r="J128" i="6"/>
  <c r="J130" i="6" s="1"/>
  <c r="K128" i="6"/>
  <c r="L128" i="6"/>
  <c r="M128" i="6"/>
  <c r="M130" i="6" s="1"/>
  <c r="N128" i="6"/>
  <c r="O128" i="6"/>
  <c r="O130" i="6" s="1"/>
  <c r="P128" i="6"/>
  <c r="P130" i="6" s="1"/>
  <c r="Q128" i="6"/>
  <c r="Q130" i="6" s="1"/>
  <c r="N130" i="6"/>
  <c r="F138" i="6"/>
  <c r="G138" i="6"/>
  <c r="H138" i="6"/>
  <c r="I138" i="6"/>
  <c r="J138" i="6"/>
  <c r="K138" i="6"/>
  <c r="L138" i="6"/>
  <c r="M138" i="6"/>
  <c r="N138" i="6"/>
  <c r="O138" i="6"/>
  <c r="P138" i="6"/>
  <c r="Q138" i="6"/>
  <c r="F140" i="6"/>
  <c r="G140" i="6"/>
  <c r="H140" i="6"/>
  <c r="I140" i="6"/>
  <c r="J140" i="6"/>
  <c r="K140" i="6"/>
  <c r="L140" i="6"/>
  <c r="M140" i="6"/>
  <c r="N140" i="6"/>
  <c r="O140" i="6"/>
  <c r="P140" i="6"/>
  <c r="Q140" i="6"/>
  <c r="F146" i="6"/>
  <c r="G151" i="6" s="1"/>
  <c r="G146" i="6"/>
  <c r="H146" i="6"/>
  <c r="I207" i="6" s="1"/>
  <c r="I208" i="6" s="1"/>
  <c r="I146" i="6"/>
  <c r="J146" i="6"/>
  <c r="K151" i="6" s="1"/>
  <c r="K146" i="6"/>
  <c r="L146" i="6"/>
  <c r="L208" i="6" s="1"/>
  <c r="M146" i="6"/>
  <c r="N146" i="6"/>
  <c r="O151" i="6" s="1"/>
  <c r="O146" i="6"/>
  <c r="P151" i="6" s="1"/>
  <c r="P146" i="6"/>
  <c r="P208" i="6" s="1"/>
  <c r="Q146" i="6"/>
  <c r="F149" i="6"/>
  <c r="F151" i="6" s="1"/>
  <c r="G149" i="6"/>
  <c r="H149" i="6"/>
  <c r="H207" i="6" s="1"/>
  <c r="I149" i="6"/>
  <c r="J149" i="6"/>
  <c r="J207" i="6" s="1"/>
  <c r="K149" i="6"/>
  <c r="L149" i="6"/>
  <c r="L151" i="6" s="1"/>
  <c r="M149" i="6"/>
  <c r="M151" i="6" s="1"/>
  <c r="N149" i="6"/>
  <c r="N207" i="6" s="1"/>
  <c r="N208" i="6" s="1"/>
  <c r="O149" i="6"/>
  <c r="P149" i="6"/>
  <c r="Q149" i="6"/>
  <c r="Q151" i="6" s="1"/>
  <c r="H151" i="6"/>
  <c r="I151" i="6"/>
  <c r="F159" i="6"/>
  <c r="G159" i="6"/>
  <c r="H159" i="6"/>
  <c r="I159" i="6"/>
  <c r="J159" i="6"/>
  <c r="K159" i="6"/>
  <c r="L159" i="6"/>
  <c r="M159" i="6"/>
  <c r="N159" i="6"/>
  <c r="O159" i="6"/>
  <c r="P159" i="6"/>
  <c r="Q159" i="6"/>
  <c r="F161" i="6"/>
  <c r="G161" i="6"/>
  <c r="I161" i="6"/>
  <c r="J161" i="6"/>
  <c r="K161" i="6"/>
  <c r="L161" i="6"/>
  <c r="M161" i="6"/>
  <c r="N161" i="6"/>
  <c r="O161" i="6"/>
  <c r="P161" i="6"/>
  <c r="Q161" i="6"/>
  <c r="F167" i="6"/>
  <c r="G167" i="6"/>
  <c r="H167" i="6"/>
  <c r="I167" i="6"/>
  <c r="J167" i="6"/>
  <c r="K172" i="6" s="1"/>
  <c r="L233" i="6" s="1"/>
  <c r="K167" i="6"/>
  <c r="L167" i="6"/>
  <c r="M167" i="6"/>
  <c r="N167" i="6"/>
  <c r="O172" i="6" s="1"/>
  <c r="O167" i="6"/>
  <c r="P167" i="6"/>
  <c r="Q167" i="6"/>
  <c r="Q182" i="6" s="1"/>
  <c r="F170" i="6"/>
  <c r="G170" i="6"/>
  <c r="G172" i="6" s="1"/>
  <c r="H233" i="6" s="1"/>
  <c r="H170" i="6"/>
  <c r="H172" i="6" s="1"/>
  <c r="I170" i="6"/>
  <c r="I172" i="6" s="1"/>
  <c r="J170" i="6"/>
  <c r="J172" i="6" s="1"/>
  <c r="K170" i="6"/>
  <c r="L170" i="6"/>
  <c r="M170" i="6"/>
  <c r="N170" i="6"/>
  <c r="N172" i="6" s="1"/>
  <c r="O170" i="6"/>
  <c r="P170" i="6"/>
  <c r="P172" i="6" s="1"/>
  <c r="Q170" i="6"/>
  <c r="Q172" i="6" s="1"/>
  <c r="F172" i="6"/>
  <c r="F234" i="6" s="1"/>
  <c r="L172" i="6"/>
  <c r="M172" i="6"/>
  <c r="N233" i="6" s="1"/>
  <c r="F180" i="6"/>
  <c r="G180" i="6"/>
  <c r="H180" i="6"/>
  <c r="I180" i="6"/>
  <c r="J180" i="6"/>
  <c r="K180" i="6"/>
  <c r="L180" i="6"/>
  <c r="M180" i="6"/>
  <c r="N180" i="6"/>
  <c r="O180" i="6"/>
  <c r="P180" i="6"/>
  <c r="Q180" i="6"/>
  <c r="F182" i="6"/>
  <c r="G182" i="6"/>
  <c r="H182" i="6"/>
  <c r="I182" i="6"/>
  <c r="J182" i="6"/>
  <c r="K182" i="6"/>
  <c r="L182" i="6"/>
  <c r="M182" i="6"/>
  <c r="N182" i="6"/>
  <c r="O182" i="6"/>
  <c r="P182" i="6"/>
  <c r="F188" i="6"/>
  <c r="F59" i="6" s="1"/>
  <c r="G188" i="6"/>
  <c r="H58" i="6" s="1"/>
  <c r="H188" i="6"/>
  <c r="H59" i="6" s="1"/>
  <c r="I188" i="6"/>
  <c r="J188" i="6"/>
  <c r="K188" i="6"/>
  <c r="L188" i="6"/>
  <c r="M58" i="6" s="1"/>
  <c r="M188" i="6"/>
  <c r="N193" i="6" s="1"/>
  <c r="N188" i="6"/>
  <c r="O58" i="6" s="1"/>
  <c r="O188" i="6"/>
  <c r="P58" i="6" s="1"/>
  <c r="P188" i="6"/>
  <c r="Q188" i="6"/>
  <c r="F191" i="6"/>
  <c r="G191" i="6"/>
  <c r="H191" i="6"/>
  <c r="H193" i="6" s="1"/>
  <c r="I191" i="6"/>
  <c r="J191" i="6"/>
  <c r="J193" i="6" s="1"/>
  <c r="K191" i="6"/>
  <c r="K193" i="6" s="1"/>
  <c r="L191" i="6"/>
  <c r="L193" i="6" s="1"/>
  <c r="M191" i="6"/>
  <c r="M193" i="6" s="1"/>
  <c r="N191" i="6"/>
  <c r="O191" i="6"/>
  <c r="P191" i="6"/>
  <c r="Q191" i="6"/>
  <c r="Q193" i="6" s="1"/>
  <c r="F193" i="6"/>
  <c r="I193" i="6"/>
  <c r="O193" i="6"/>
  <c r="P193" i="6"/>
  <c r="F201" i="6"/>
  <c r="G201" i="6"/>
  <c r="H201" i="6"/>
  <c r="I201" i="6"/>
  <c r="J201" i="6"/>
  <c r="K201" i="6"/>
  <c r="L201" i="6"/>
  <c r="M201" i="6"/>
  <c r="N201" i="6"/>
  <c r="O201" i="6"/>
  <c r="P201" i="6"/>
  <c r="Q201" i="6"/>
  <c r="F203" i="6"/>
  <c r="G203" i="6"/>
  <c r="H203" i="6"/>
  <c r="I203" i="6"/>
  <c r="J203" i="6"/>
  <c r="K203" i="6"/>
  <c r="L203" i="6"/>
  <c r="M203" i="6"/>
  <c r="N203" i="6"/>
  <c r="O203" i="6"/>
  <c r="P203" i="6"/>
  <c r="Q203" i="6"/>
  <c r="L207" i="6"/>
  <c r="M207" i="6"/>
  <c r="M208" i="6" s="1"/>
  <c r="O207" i="6"/>
  <c r="P207" i="6"/>
  <c r="O208" i="6"/>
  <c r="O209" i="6"/>
  <c r="O210" i="6" s="1"/>
  <c r="F214" i="6"/>
  <c r="G219" i="6" s="1"/>
  <c r="G214" i="6"/>
  <c r="H214" i="6"/>
  <c r="I214" i="6"/>
  <c r="J214" i="6"/>
  <c r="K219" i="6" s="1"/>
  <c r="K214" i="6"/>
  <c r="L219" i="6" s="1"/>
  <c r="L214" i="6"/>
  <c r="M214" i="6"/>
  <c r="N214" i="6"/>
  <c r="O214" i="6"/>
  <c r="P214" i="6"/>
  <c r="Q214" i="6"/>
  <c r="F217" i="6"/>
  <c r="F219" i="6" s="1"/>
  <c r="G217" i="6"/>
  <c r="H217" i="6"/>
  <c r="H219" i="6" s="1"/>
  <c r="I217" i="6"/>
  <c r="J217" i="6"/>
  <c r="J219" i="6" s="1"/>
  <c r="K217" i="6"/>
  <c r="L217" i="6"/>
  <c r="M217" i="6"/>
  <c r="M219" i="6" s="1"/>
  <c r="N217" i="6"/>
  <c r="O217" i="6"/>
  <c r="O219" i="6" s="1"/>
  <c r="P217" i="6"/>
  <c r="P219" i="6" s="1"/>
  <c r="Q217" i="6"/>
  <c r="Q219" i="6" s="1"/>
  <c r="I219" i="6"/>
  <c r="N219" i="6"/>
  <c r="F227" i="6"/>
  <c r="G227" i="6"/>
  <c r="H227" i="6"/>
  <c r="I227" i="6"/>
  <c r="J227" i="6"/>
  <c r="K227" i="6"/>
  <c r="L227" i="6"/>
  <c r="M227" i="6"/>
  <c r="N227" i="6"/>
  <c r="O227" i="6"/>
  <c r="P227" i="6"/>
  <c r="Q227" i="6"/>
  <c r="F229" i="6"/>
  <c r="G229" i="6"/>
  <c r="H229" i="6"/>
  <c r="I229" i="6"/>
  <c r="J229" i="6"/>
  <c r="K229" i="6"/>
  <c r="L229" i="6"/>
  <c r="M229" i="6"/>
  <c r="N229" i="6"/>
  <c r="O229" i="6"/>
  <c r="P229" i="6"/>
  <c r="Q229" i="6"/>
  <c r="R229" i="6"/>
  <c r="I235" i="6"/>
  <c r="J235" i="6"/>
  <c r="L235" i="6"/>
  <c r="L236" i="6" s="1"/>
  <c r="M235" i="6"/>
  <c r="N235" i="6"/>
  <c r="O235" i="6"/>
  <c r="O236" i="6" s="1"/>
  <c r="P235" i="6"/>
  <c r="P236" i="6" s="1"/>
  <c r="I236" i="6"/>
  <c r="J236" i="6"/>
  <c r="M236" i="6"/>
  <c r="N236" i="6"/>
  <c r="G240" i="6"/>
  <c r="G255" i="6" s="1"/>
  <c r="H240" i="6"/>
  <c r="J240" i="6"/>
  <c r="K240" i="6"/>
  <c r="K255" i="6" s="1"/>
  <c r="L240" i="6"/>
  <c r="M245" i="6" s="1"/>
  <c r="M240" i="6"/>
  <c r="N240" i="6"/>
  <c r="O240" i="6"/>
  <c r="O255" i="6" s="1"/>
  <c r="P240" i="6"/>
  <c r="P255" i="6" s="1"/>
  <c r="Q240" i="6"/>
  <c r="Q255" i="6" s="1"/>
  <c r="G243" i="6"/>
  <c r="G245" i="6" s="1"/>
  <c r="H243" i="6"/>
  <c r="H245" i="6" s="1"/>
  <c r="I243" i="6"/>
  <c r="I245" i="6" s="1"/>
  <c r="J243" i="6"/>
  <c r="K243" i="6"/>
  <c r="L243" i="6"/>
  <c r="M243" i="6"/>
  <c r="N243" i="6"/>
  <c r="O243" i="6"/>
  <c r="O245" i="6" s="1"/>
  <c r="P243" i="6"/>
  <c r="P245" i="6" s="1"/>
  <c r="Q243" i="6"/>
  <c r="Q245" i="6" s="1"/>
  <c r="J245" i="6"/>
  <c r="K245" i="6"/>
  <c r="L245" i="6"/>
  <c r="N245" i="6"/>
  <c r="F253" i="6"/>
  <c r="G253" i="6"/>
  <c r="H253" i="6"/>
  <c r="I253" i="6"/>
  <c r="J253" i="6"/>
  <c r="K253" i="6"/>
  <c r="L253" i="6"/>
  <c r="M253" i="6"/>
  <c r="N253" i="6"/>
  <c r="O253" i="6"/>
  <c r="P253" i="6"/>
  <c r="Q253" i="6"/>
  <c r="F255" i="6"/>
  <c r="H255" i="6"/>
  <c r="I255" i="6"/>
  <c r="J255" i="6"/>
  <c r="M255" i="6"/>
  <c r="N255" i="6"/>
  <c r="R255" i="6"/>
  <c r="F260" i="6"/>
  <c r="G260" i="6"/>
  <c r="H260" i="6"/>
  <c r="I260" i="6"/>
  <c r="J260" i="6"/>
  <c r="K260" i="6"/>
  <c r="L260" i="6"/>
  <c r="M260" i="6"/>
  <c r="N260" i="6"/>
  <c r="O260" i="6"/>
  <c r="P260" i="6"/>
  <c r="Q260" i="6"/>
  <c r="F262" i="6"/>
  <c r="G262" i="6"/>
  <c r="H262" i="6"/>
  <c r="I262" i="6"/>
  <c r="J262" i="6"/>
  <c r="K262" i="6"/>
  <c r="L262" i="6"/>
  <c r="M262" i="6"/>
  <c r="N262" i="6"/>
  <c r="O262" i="6"/>
  <c r="P185" i="6" s="1"/>
  <c r="P262" i="6"/>
  <c r="Q262" i="6"/>
  <c r="F263" i="6"/>
  <c r="G263" i="6"/>
  <c r="H263" i="6"/>
  <c r="I263" i="6"/>
  <c r="J263" i="6"/>
  <c r="K263" i="6"/>
  <c r="L263" i="6"/>
  <c r="M263" i="6"/>
  <c r="N263" i="6"/>
  <c r="O263" i="6"/>
  <c r="P263" i="6"/>
  <c r="Q263" i="6"/>
  <c r="H264" i="6"/>
  <c r="H266" i="6" s="1"/>
  <c r="M264" i="6"/>
  <c r="F265" i="6"/>
  <c r="G265" i="6"/>
  <c r="H265" i="6"/>
  <c r="I265" i="6"/>
  <c r="J265" i="6"/>
  <c r="K265" i="6"/>
  <c r="L265" i="6"/>
  <c r="M265" i="6"/>
  <c r="N265" i="6"/>
  <c r="O265" i="6"/>
  <c r="P265" i="6"/>
  <c r="Q265" i="6"/>
  <c r="F267" i="6"/>
  <c r="G267" i="6"/>
  <c r="H267" i="6"/>
  <c r="I267" i="6"/>
  <c r="J267" i="6"/>
  <c r="K267" i="6"/>
  <c r="L267" i="6"/>
  <c r="M267" i="6"/>
  <c r="N267" i="6"/>
  <c r="O267" i="6"/>
  <c r="P267" i="6"/>
  <c r="Q267" i="6"/>
  <c r="F268" i="6"/>
  <c r="G268" i="6"/>
  <c r="H268" i="6"/>
  <c r="I268" i="6"/>
  <c r="J268" i="6"/>
  <c r="K268" i="6"/>
  <c r="L268" i="6"/>
  <c r="M268" i="6"/>
  <c r="N268" i="6"/>
  <c r="O268" i="6"/>
  <c r="P268" i="6"/>
  <c r="Q268" i="6"/>
  <c r="F269" i="6"/>
  <c r="G269" i="6"/>
  <c r="H269" i="6"/>
  <c r="I269" i="6"/>
  <c r="J269" i="6"/>
  <c r="K269" i="6"/>
  <c r="L269" i="6"/>
  <c r="M269" i="6"/>
  <c r="N269" i="6"/>
  <c r="O269" i="6"/>
  <c r="P269" i="6"/>
  <c r="Q269" i="6"/>
  <c r="F270" i="6"/>
  <c r="G270" i="6"/>
  <c r="H270" i="6"/>
  <c r="I270" i="6"/>
  <c r="J270" i="6"/>
  <c r="K270" i="6"/>
  <c r="L270" i="6"/>
  <c r="M270" i="6"/>
  <c r="N270" i="6"/>
  <c r="O270" i="6"/>
  <c r="P270" i="6"/>
  <c r="Q270" i="6"/>
  <c r="F271" i="6"/>
  <c r="G271" i="6"/>
  <c r="H271" i="6"/>
  <c r="I271" i="6"/>
  <c r="J271" i="6"/>
  <c r="K271" i="6"/>
  <c r="L271" i="6"/>
  <c r="M271" i="6"/>
  <c r="N271" i="6"/>
  <c r="O271" i="6"/>
  <c r="P271" i="6"/>
  <c r="Q271" i="6"/>
  <c r="F272" i="6"/>
  <c r="F274" i="6" s="1"/>
  <c r="G272" i="6"/>
  <c r="G276" i="6" s="1"/>
  <c r="H272" i="6"/>
  <c r="I272" i="6"/>
  <c r="J272" i="6"/>
  <c r="K272" i="6"/>
  <c r="L272" i="6"/>
  <c r="M272" i="6"/>
  <c r="N272" i="6"/>
  <c r="O272" i="6"/>
  <c r="P272" i="6"/>
  <c r="Q272" i="6"/>
  <c r="F273" i="6"/>
  <c r="G273" i="6"/>
  <c r="H273" i="6"/>
  <c r="I273" i="6"/>
  <c r="J273" i="6"/>
  <c r="J274" i="6" s="1"/>
  <c r="K273" i="6"/>
  <c r="K274" i="6" s="1"/>
  <c r="L273" i="6"/>
  <c r="L274" i="6" s="1"/>
  <c r="M273" i="6"/>
  <c r="M274" i="6" s="1"/>
  <c r="N273" i="6"/>
  <c r="O273" i="6"/>
  <c r="P273" i="6"/>
  <c r="Q273" i="6"/>
  <c r="Q274" i="6" s="1"/>
  <c r="I274" i="6"/>
  <c r="N274" i="6"/>
  <c r="O274" i="6"/>
  <c r="P274" i="6"/>
  <c r="F275" i="6"/>
  <c r="G275" i="6"/>
  <c r="H275" i="6"/>
  <c r="I275" i="6"/>
  <c r="J275" i="6"/>
  <c r="K275" i="6"/>
  <c r="L275" i="6"/>
  <c r="M275" i="6"/>
  <c r="N275" i="6"/>
  <c r="O275" i="6"/>
  <c r="P275" i="6"/>
  <c r="Q275" i="6"/>
  <c r="F282" i="6"/>
  <c r="F261" i="6" s="1"/>
  <c r="F276" i="6" s="1"/>
  <c r="G282" i="6"/>
  <c r="G261" i="6" s="1"/>
  <c r="H282" i="6"/>
  <c r="I209" i="6" s="1"/>
  <c r="I282" i="6"/>
  <c r="I261" i="6" s="1"/>
  <c r="I276" i="6" s="1"/>
  <c r="J282" i="6"/>
  <c r="J297" i="6" s="1"/>
  <c r="K282" i="6"/>
  <c r="L209" i="6" s="1"/>
  <c r="L282" i="6"/>
  <c r="L297" i="6" s="1"/>
  <c r="M282" i="6"/>
  <c r="N209" i="6" s="1"/>
  <c r="N282" i="6"/>
  <c r="N261" i="6" s="1"/>
  <c r="N276" i="6" s="1"/>
  <c r="O282" i="6"/>
  <c r="O261" i="6" s="1"/>
  <c r="O276" i="6" s="1"/>
  <c r="P282" i="6"/>
  <c r="P261" i="6" s="1"/>
  <c r="P276" i="6" s="1"/>
  <c r="Q282" i="6"/>
  <c r="Q297" i="6" s="1"/>
  <c r="F285" i="6"/>
  <c r="G285" i="6"/>
  <c r="G287" i="6" s="1"/>
  <c r="I285" i="6"/>
  <c r="I264" i="6" s="1"/>
  <c r="J285" i="6"/>
  <c r="J264" i="6" s="1"/>
  <c r="J266" i="6" s="1"/>
  <c r="K285" i="6"/>
  <c r="L285" i="6"/>
  <c r="M285" i="6"/>
  <c r="N285" i="6"/>
  <c r="N264" i="6" s="1"/>
  <c r="O285" i="6"/>
  <c r="O264" i="6" s="1"/>
  <c r="P285" i="6"/>
  <c r="P287" i="6" s="1"/>
  <c r="Q285" i="6"/>
  <c r="Q264" i="6" s="1"/>
  <c r="Q266" i="6" s="1"/>
  <c r="F287" i="6"/>
  <c r="H287" i="6"/>
  <c r="N287" i="6"/>
  <c r="F295" i="6"/>
  <c r="G295" i="6"/>
  <c r="I295" i="6"/>
  <c r="J295" i="6"/>
  <c r="K295" i="6"/>
  <c r="L295" i="6"/>
  <c r="M295" i="6"/>
  <c r="N295" i="6"/>
  <c r="O295" i="6"/>
  <c r="P295" i="6"/>
  <c r="Q295" i="6"/>
  <c r="F297" i="6"/>
  <c r="G297" i="6"/>
  <c r="M297" i="6"/>
  <c r="N297" i="6"/>
  <c r="O297" i="6"/>
  <c r="P297" i="6"/>
  <c r="F304" i="6"/>
  <c r="F57" i="6" s="1"/>
  <c r="G304" i="6"/>
  <c r="H56" i="6" s="1"/>
  <c r="H304" i="6"/>
  <c r="I304" i="6"/>
  <c r="J304" i="6"/>
  <c r="J57" i="6" s="1"/>
  <c r="K304" i="6"/>
  <c r="L56" i="6" s="1"/>
  <c r="L304" i="6"/>
  <c r="M304" i="6"/>
  <c r="N304" i="6"/>
  <c r="O304" i="6"/>
  <c r="O57" i="6" s="1"/>
  <c r="P304" i="6"/>
  <c r="Q304" i="6"/>
  <c r="F307" i="6"/>
  <c r="F309" i="6" s="1"/>
  <c r="G307" i="6"/>
  <c r="G309" i="6" s="1"/>
  <c r="H307" i="6"/>
  <c r="H309" i="6" s="1"/>
  <c r="I307" i="6"/>
  <c r="J307" i="6"/>
  <c r="K307" i="6"/>
  <c r="L307" i="6"/>
  <c r="L309" i="6" s="1"/>
  <c r="M307" i="6"/>
  <c r="N307" i="6"/>
  <c r="N309" i="6" s="1"/>
  <c r="O307" i="6"/>
  <c r="O309" i="6" s="1"/>
  <c r="P307" i="6"/>
  <c r="P309" i="6" s="1"/>
  <c r="Q307" i="6"/>
  <c r="J309" i="6"/>
  <c r="K309" i="6"/>
  <c r="F317" i="6"/>
  <c r="G317" i="6"/>
  <c r="H317" i="6"/>
  <c r="I317" i="6"/>
  <c r="J317" i="6"/>
  <c r="K317" i="6"/>
  <c r="L317" i="6"/>
  <c r="M317" i="6"/>
  <c r="N317" i="6"/>
  <c r="O317" i="6"/>
  <c r="P317" i="6"/>
  <c r="Q317" i="6"/>
  <c r="F319" i="6"/>
  <c r="G319" i="6"/>
  <c r="H319" i="6"/>
  <c r="I319" i="6"/>
  <c r="J319" i="6"/>
  <c r="K319" i="6"/>
  <c r="L319" i="6"/>
  <c r="M319" i="6"/>
  <c r="N319" i="6"/>
  <c r="O319" i="6"/>
  <c r="P319" i="6"/>
  <c r="Q319" i="6"/>
  <c r="F320" i="6"/>
  <c r="G320" i="6"/>
  <c r="H320" i="6"/>
  <c r="I320" i="6"/>
  <c r="J320" i="6"/>
  <c r="K320" i="6"/>
  <c r="L320" i="6"/>
  <c r="M320" i="6"/>
  <c r="N320" i="6"/>
  <c r="O320" i="6"/>
  <c r="P320" i="6"/>
  <c r="Q320" i="6"/>
  <c r="F325" i="6"/>
  <c r="G325" i="6"/>
  <c r="H325" i="6"/>
  <c r="I330" i="6" s="1"/>
  <c r="I325" i="6"/>
  <c r="J330" i="6" s="1"/>
  <c r="J325" i="6"/>
  <c r="K330" i="6" s="1"/>
  <c r="K325" i="6"/>
  <c r="L330" i="6" s="1"/>
  <c r="L325" i="6"/>
  <c r="M325" i="6"/>
  <c r="N325" i="6"/>
  <c r="O325" i="6"/>
  <c r="P325" i="6"/>
  <c r="Q330" i="6" s="1"/>
  <c r="Q325" i="6"/>
  <c r="F328" i="6"/>
  <c r="F330" i="6" s="1"/>
  <c r="G328" i="6"/>
  <c r="G330" i="6" s="1"/>
  <c r="H328" i="6"/>
  <c r="H330" i="6" s="1"/>
  <c r="I328" i="6"/>
  <c r="J328" i="6"/>
  <c r="K328" i="6"/>
  <c r="L328" i="6"/>
  <c r="M328" i="6"/>
  <c r="M330" i="6" s="1"/>
  <c r="N328" i="6"/>
  <c r="N330" i="6" s="1"/>
  <c r="O328" i="6"/>
  <c r="O330" i="6" s="1"/>
  <c r="P328" i="6"/>
  <c r="P330" i="6" s="1"/>
  <c r="Q328" i="6"/>
  <c r="F338" i="6"/>
  <c r="G338" i="6"/>
  <c r="H338" i="6"/>
  <c r="I338" i="6"/>
  <c r="J338" i="6"/>
  <c r="K338" i="6"/>
  <c r="L338" i="6"/>
  <c r="M338" i="6"/>
  <c r="N338" i="6"/>
  <c r="O338" i="6"/>
  <c r="P338" i="6"/>
  <c r="Q338" i="6"/>
  <c r="F340" i="6"/>
  <c r="G340" i="6"/>
  <c r="H340" i="6"/>
  <c r="I340" i="6"/>
  <c r="J340" i="6"/>
  <c r="K340" i="6"/>
  <c r="L340" i="6"/>
  <c r="M340" i="6"/>
  <c r="N340" i="6"/>
  <c r="O340" i="6"/>
  <c r="Q340" i="6"/>
  <c r="F346" i="6"/>
  <c r="G346" i="6"/>
  <c r="H346" i="6"/>
  <c r="I346" i="6"/>
  <c r="J346" i="6"/>
  <c r="K346" i="6"/>
  <c r="L346" i="6"/>
  <c r="M346" i="6"/>
  <c r="N346" i="6"/>
  <c r="O346" i="6"/>
  <c r="P346" i="6"/>
  <c r="Q346" i="6"/>
  <c r="F349" i="6"/>
  <c r="G349" i="6"/>
  <c r="H349" i="6"/>
  <c r="H351" i="6" s="1"/>
  <c r="I349" i="6"/>
  <c r="J349" i="6"/>
  <c r="J351" i="6" s="1"/>
  <c r="K349" i="6"/>
  <c r="K351" i="6" s="1"/>
  <c r="L349" i="6"/>
  <c r="L351" i="6" s="1"/>
  <c r="M349" i="6"/>
  <c r="N349" i="6"/>
  <c r="O349" i="6"/>
  <c r="P349" i="6"/>
  <c r="Q349" i="6"/>
  <c r="Q351" i="6" s="1"/>
  <c r="F351" i="6"/>
  <c r="G351" i="6"/>
  <c r="I351" i="6"/>
  <c r="M351" i="6"/>
  <c r="N351" i="6"/>
  <c r="O351" i="6"/>
  <c r="P351" i="6"/>
  <c r="F359" i="6"/>
  <c r="G359" i="6"/>
  <c r="H359" i="6"/>
  <c r="I359" i="6"/>
  <c r="J359" i="6"/>
  <c r="K359" i="6"/>
  <c r="L359" i="6"/>
  <c r="M359" i="6"/>
  <c r="N359" i="6"/>
  <c r="O359" i="6"/>
  <c r="P359" i="6"/>
  <c r="Q359" i="6"/>
  <c r="F361" i="6"/>
  <c r="G361" i="6"/>
  <c r="H361" i="6"/>
  <c r="I361" i="6"/>
  <c r="J361" i="6"/>
  <c r="K361" i="6"/>
  <c r="L361" i="6"/>
  <c r="M361" i="6"/>
  <c r="N361" i="6"/>
  <c r="O361" i="6"/>
  <c r="P361" i="6"/>
  <c r="Q361" i="6"/>
  <c r="K11" i="5"/>
  <c r="N11" i="5"/>
  <c r="K12" i="5"/>
  <c r="F14" i="5"/>
  <c r="F12" i="5" s="1"/>
  <c r="G14" i="5"/>
  <c r="H11" i="5" s="1"/>
  <c r="H12" i="5" s="1"/>
  <c r="H14" i="5"/>
  <c r="I11" i="5" s="1"/>
  <c r="I14" i="5"/>
  <c r="J11" i="5" s="1"/>
  <c r="J12" i="5" s="1"/>
  <c r="J14" i="5"/>
  <c r="L14" i="5"/>
  <c r="M14" i="5"/>
  <c r="N14" i="5"/>
  <c r="N12" i="5" s="1"/>
  <c r="O14" i="5"/>
  <c r="P11" i="5" s="1"/>
  <c r="P12" i="5" s="1"/>
  <c r="P14" i="5"/>
  <c r="P29" i="5" s="1"/>
  <c r="Q14" i="5"/>
  <c r="Q29" i="5" s="1"/>
  <c r="F17" i="5"/>
  <c r="F19" i="5" s="1"/>
  <c r="G17" i="5"/>
  <c r="H17" i="5"/>
  <c r="H19" i="5" s="1"/>
  <c r="I17" i="5"/>
  <c r="I19" i="5" s="1"/>
  <c r="J17" i="5"/>
  <c r="L17" i="5"/>
  <c r="L11" i="5" s="1"/>
  <c r="L12" i="5" s="1"/>
  <c r="M17" i="5"/>
  <c r="M11" i="5" s="1"/>
  <c r="N17" i="5"/>
  <c r="N19" i="5" s="1"/>
  <c r="O17" i="5"/>
  <c r="O19" i="5" s="1"/>
  <c r="P17" i="5"/>
  <c r="Q17" i="5"/>
  <c r="G19" i="5"/>
  <c r="L19" i="5"/>
  <c r="P19" i="5"/>
  <c r="Q19" i="5"/>
  <c r="F27" i="5"/>
  <c r="G27" i="5"/>
  <c r="H27" i="5"/>
  <c r="I27" i="5"/>
  <c r="J27" i="5"/>
  <c r="L27" i="5"/>
  <c r="M27" i="5"/>
  <c r="N27" i="5"/>
  <c r="O27" i="5"/>
  <c r="P27" i="5"/>
  <c r="Q27" i="5"/>
  <c r="H29" i="5"/>
  <c r="J29" i="5"/>
  <c r="L29" i="5"/>
  <c r="M29" i="5"/>
  <c r="N29" i="5"/>
  <c r="O29" i="5"/>
  <c r="H33" i="5"/>
  <c r="L33" i="5"/>
  <c r="M33" i="5"/>
  <c r="F34" i="5"/>
  <c r="L34" i="5"/>
  <c r="F37" i="5"/>
  <c r="G37" i="5"/>
  <c r="G52" i="5" s="1"/>
  <c r="H37" i="5"/>
  <c r="H34" i="5" s="1"/>
  <c r="I37" i="5"/>
  <c r="J37" i="5"/>
  <c r="L37" i="5"/>
  <c r="M37" i="5"/>
  <c r="M34" i="5" s="1"/>
  <c r="N37" i="5"/>
  <c r="O33" i="5" s="1"/>
  <c r="O37" i="5"/>
  <c r="P33" i="5" s="1"/>
  <c r="P34" i="5" s="1"/>
  <c r="P37" i="5"/>
  <c r="P52" i="5" s="1"/>
  <c r="Q37" i="5"/>
  <c r="F40" i="5"/>
  <c r="F42" i="5" s="1"/>
  <c r="G40" i="5"/>
  <c r="H40" i="5"/>
  <c r="I40" i="5"/>
  <c r="J40" i="5"/>
  <c r="J42" i="5" s="1"/>
  <c r="L40" i="5"/>
  <c r="M40" i="5"/>
  <c r="M42" i="5" s="1"/>
  <c r="N40" i="5"/>
  <c r="N42" i="5" s="1"/>
  <c r="O40" i="5"/>
  <c r="O42" i="5" s="1"/>
  <c r="P40" i="5"/>
  <c r="Q40" i="5"/>
  <c r="Q42" i="5" s="1"/>
  <c r="G42" i="5"/>
  <c r="H42" i="5"/>
  <c r="L42" i="5"/>
  <c r="P42" i="5"/>
  <c r="F50" i="5"/>
  <c r="G50" i="5"/>
  <c r="H50" i="5"/>
  <c r="I50" i="5"/>
  <c r="J50" i="5"/>
  <c r="L50" i="5"/>
  <c r="M50" i="5"/>
  <c r="N50" i="5"/>
  <c r="O50" i="5"/>
  <c r="P50" i="5"/>
  <c r="Q50" i="5"/>
  <c r="F52" i="5"/>
  <c r="J52" i="5"/>
  <c r="L52" i="5"/>
  <c r="M52" i="5"/>
  <c r="N52" i="5"/>
  <c r="Q52" i="5"/>
  <c r="J56" i="5"/>
  <c r="L56" i="5"/>
  <c r="M56" i="5"/>
  <c r="P56" i="5"/>
  <c r="F57" i="5"/>
  <c r="J57" i="5"/>
  <c r="L57" i="5"/>
  <c r="L58" i="5"/>
  <c r="P58" i="5"/>
  <c r="F62" i="5"/>
  <c r="F77" i="5" s="1"/>
  <c r="G62" i="5"/>
  <c r="H62" i="5"/>
  <c r="H77" i="5" s="1"/>
  <c r="I62" i="5"/>
  <c r="J62" i="5"/>
  <c r="K62" i="5"/>
  <c r="K240" i="5" s="1"/>
  <c r="K255" i="5" s="1"/>
  <c r="L62" i="5"/>
  <c r="M62" i="5"/>
  <c r="N62" i="5"/>
  <c r="O62" i="5"/>
  <c r="O77" i="5" s="1"/>
  <c r="P62" i="5"/>
  <c r="P77" i="5" s="1"/>
  <c r="Q62" i="5"/>
  <c r="F65" i="5"/>
  <c r="G65" i="5"/>
  <c r="H65" i="5"/>
  <c r="I65" i="5"/>
  <c r="J65" i="5"/>
  <c r="K65" i="5"/>
  <c r="K243" i="5" s="1"/>
  <c r="L65" i="5"/>
  <c r="M65" i="5"/>
  <c r="N65" i="5"/>
  <c r="O65" i="5"/>
  <c r="P65" i="5"/>
  <c r="Q65" i="5"/>
  <c r="F75" i="5"/>
  <c r="G75" i="5"/>
  <c r="H75" i="5"/>
  <c r="I75" i="5"/>
  <c r="J75" i="5"/>
  <c r="K75" i="5"/>
  <c r="L75" i="5"/>
  <c r="M75" i="5"/>
  <c r="N75" i="5"/>
  <c r="O75" i="5"/>
  <c r="P75" i="5"/>
  <c r="Q75" i="5"/>
  <c r="G77" i="5"/>
  <c r="I77" i="5"/>
  <c r="J77" i="5"/>
  <c r="K77" i="5"/>
  <c r="L77" i="5"/>
  <c r="M77" i="5"/>
  <c r="N77" i="5"/>
  <c r="Q77" i="5"/>
  <c r="F83" i="5"/>
  <c r="F98" i="5" s="1"/>
  <c r="G83" i="5"/>
  <c r="H83" i="5"/>
  <c r="H98" i="5" s="1"/>
  <c r="I83" i="5"/>
  <c r="J83" i="5"/>
  <c r="L83" i="5"/>
  <c r="M83" i="5"/>
  <c r="N83" i="5"/>
  <c r="O83" i="5"/>
  <c r="O98" i="5" s="1"/>
  <c r="P83" i="5"/>
  <c r="Q88" i="5" s="1"/>
  <c r="Q83" i="5"/>
  <c r="Q98" i="5" s="1"/>
  <c r="F86" i="5"/>
  <c r="G86" i="5"/>
  <c r="G88" i="5" s="1"/>
  <c r="H86" i="5"/>
  <c r="H88" i="5" s="1"/>
  <c r="I86" i="5"/>
  <c r="J86" i="5"/>
  <c r="L86" i="5"/>
  <c r="L88" i="5" s="1"/>
  <c r="M86" i="5"/>
  <c r="M88" i="5" s="1"/>
  <c r="N86" i="5"/>
  <c r="N88" i="5" s="1"/>
  <c r="O86" i="5"/>
  <c r="P86" i="5"/>
  <c r="Q86" i="5"/>
  <c r="F88" i="5"/>
  <c r="J88" i="5"/>
  <c r="O88" i="5"/>
  <c r="P88" i="5"/>
  <c r="F96" i="5"/>
  <c r="G96" i="5"/>
  <c r="H96" i="5"/>
  <c r="I96" i="5"/>
  <c r="J96" i="5"/>
  <c r="L96" i="5"/>
  <c r="M96" i="5"/>
  <c r="N96" i="5"/>
  <c r="O96" i="5"/>
  <c r="P96" i="5"/>
  <c r="Q96" i="5"/>
  <c r="G98" i="5"/>
  <c r="I98" i="5"/>
  <c r="J98" i="5"/>
  <c r="L98" i="5"/>
  <c r="M98" i="5"/>
  <c r="N98" i="5"/>
  <c r="F104" i="5"/>
  <c r="G104" i="5"/>
  <c r="G119" i="5" s="1"/>
  <c r="H104" i="5"/>
  <c r="I109" i="5" s="1"/>
  <c r="I104" i="5"/>
  <c r="I119" i="5" s="1"/>
  <c r="J104" i="5"/>
  <c r="L104" i="5"/>
  <c r="M104" i="5"/>
  <c r="N104" i="5"/>
  <c r="O104" i="5"/>
  <c r="O119" i="5" s="1"/>
  <c r="P104" i="5"/>
  <c r="P119" i="5" s="1"/>
  <c r="Q104" i="5"/>
  <c r="F107" i="5"/>
  <c r="F109" i="5" s="1"/>
  <c r="G107" i="5"/>
  <c r="H107" i="5"/>
  <c r="I107" i="5"/>
  <c r="J107" i="5"/>
  <c r="J109" i="5" s="1"/>
  <c r="L107" i="5"/>
  <c r="M107" i="5"/>
  <c r="M109" i="5" s="1"/>
  <c r="N107" i="5"/>
  <c r="N109" i="5" s="1"/>
  <c r="O107" i="5"/>
  <c r="O109" i="5" s="1"/>
  <c r="P107" i="5"/>
  <c r="Q107" i="5"/>
  <c r="Q109" i="5" s="1"/>
  <c r="G109" i="5"/>
  <c r="H109" i="5"/>
  <c r="L109" i="5"/>
  <c r="P109" i="5"/>
  <c r="F117" i="5"/>
  <c r="G117" i="5"/>
  <c r="H117" i="5"/>
  <c r="I117" i="5"/>
  <c r="J117" i="5"/>
  <c r="L117" i="5"/>
  <c r="M117" i="5"/>
  <c r="N117" i="5"/>
  <c r="O117" i="5"/>
  <c r="P117" i="5"/>
  <c r="Q117" i="5"/>
  <c r="F119" i="5"/>
  <c r="J119" i="5"/>
  <c r="L119" i="5"/>
  <c r="M119" i="5"/>
  <c r="N119" i="5"/>
  <c r="Q119" i="5"/>
  <c r="F125" i="5"/>
  <c r="G125" i="5"/>
  <c r="G140" i="5" s="1"/>
  <c r="H125" i="5"/>
  <c r="H140" i="5" s="1"/>
  <c r="I125" i="5"/>
  <c r="J125" i="5"/>
  <c r="J140" i="5" s="1"/>
  <c r="L125" i="5"/>
  <c r="M125" i="5"/>
  <c r="N125" i="5"/>
  <c r="O125" i="5"/>
  <c r="P125" i="5"/>
  <c r="Q125" i="5"/>
  <c r="Q140" i="5" s="1"/>
  <c r="F128" i="5"/>
  <c r="F130" i="5" s="1"/>
  <c r="G128" i="5"/>
  <c r="G130" i="5" s="1"/>
  <c r="H128" i="5"/>
  <c r="I128" i="5"/>
  <c r="I130" i="5" s="1"/>
  <c r="J128" i="5"/>
  <c r="J130" i="5" s="1"/>
  <c r="L128" i="5"/>
  <c r="M128" i="5"/>
  <c r="N128" i="5"/>
  <c r="N130" i="5" s="1"/>
  <c r="O128" i="5"/>
  <c r="O130" i="5" s="1"/>
  <c r="P128" i="5"/>
  <c r="P130" i="5" s="1"/>
  <c r="Q128" i="5"/>
  <c r="H130" i="5"/>
  <c r="L130" i="5"/>
  <c r="M130" i="5"/>
  <c r="Q130" i="5"/>
  <c r="F138" i="5"/>
  <c r="G138" i="5"/>
  <c r="H138" i="5"/>
  <c r="I138" i="5"/>
  <c r="J138" i="5"/>
  <c r="L138" i="5"/>
  <c r="M138" i="5"/>
  <c r="N138" i="5"/>
  <c r="O138" i="5"/>
  <c r="P138" i="5"/>
  <c r="Q138" i="5"/>
  <c r="F140" i="5"/>
  <c r="I140" i="5"/>
  <c r="L140" i="5"/>
  <c r="M140" i="5"/>
  <c r="N140" i="5"/>
  <c r="O140" i="5"/>
  <c r="P140" i="5"/>
  <c r="F146" i="5"/>
  <c r="F208" i="5" s="1"/>
  <c r="G146" i="5"/>
  <c r="H207" i="5" s="1"/>
  <c r="H208" i="5" s="1"/>
  <c r="H146" i="5"/>
  <c r="I146" i="5"/>
  <c r="I161" i="5" s="1"/>
  <c r="J146" i="5"/>
  <c r="J208" i="5" s="1"/>
  <c r="L146" i="5"/>
  <c r="M146" i="5"/>
  <c r="N146" i="5"/>
  <c r="O146" i="5"/>
  <c r="O208" i="5" s="1"/>
  <c r="P146" i="5"/>
  <c r="Q146" i="5"/>
  <c r="Q161" i="5" s="1"/>
  <c r="F149" i="5"/>
  <c r="F151" i="5" s="1"/>
  <c r="G149" i="5"/>
  <c r="G151" i="5" s="1"/>
  <c r="H149" i="5"/>
  <c r="H151" i="5" s="1"/>
  <c r="I149" i="5"/>
  <c r="J149" i="5"/>
  <c r="L149" i="5"/>
  <c r="L207" i="5" s="1"/>
  <c r="M149" i="5"/>
  <c r="M151" i="5" s="1"/>
  <c r="N149" i="5"/>
  <c r="O149" i="5"/>
  <c r="O151" i="5" s="1"/>
  <c r="P149" i="5"/>
  <c r="P151" i="5" s="1"/>
  <c r="Q149" i="5"/>
  <c r="Q151" i="5" s="1"/>
  <c r="I151" i="5"/>
  <c r="J151" i="5"/>
  <c r="L151" i="5"/>
  <c r="N151" i="5"/>
  <c r="F159" i="5"/>
  <c r="G159" i="5"/>
  <c r="H159" i="5"/>
  <c r="I159" i="5"/>
  <c r="J159" i="5"/>
  <c r="L159" i="5"/>
  <c r="M159" i="5"/>
  <c r="N159" i="5"/>
  <c r="O159" i="5"/>
  <c r="P159" i="5"/>
  <c r="Q159" i="5"/>
  <c r="F161" i="5"/>
  <c r="G161" i="5"/>
  <c r="H161" i="5"/>
  <c r="M161" i="5"/>
  <c r="N161" i="5"/>
  <c r="O161" i="5"/>
  <c r="P161" i="5"/>
  <c r="L167" i="5"/>
  <c r="M167" i="5"/>
  <c r="M182" i="5" s="1"/>
  <c r="N167" i="5"/>
  <c r="N182" i="5" s="1"/>
  <c r="O167" i="5"/>
  <c r="P167" i="5"/>
  <c r="Q167" i="5"/>
  <c r="Q182" i="5" s="1"/>
  <c r="L170" i="5"/>
  <c r="L243" i="5" s="1"/>
  <c r="L245" i="5" s="1"/>
  <c r="M170" i="5"/>
  <c r="N170" i="5"/>
  <c r="O170" i="5"/>
  <c r="O172" i="5" s="1"/>
  <c r="P170" i="5"/>
  <c r="P172" i="5" s="1"/>
  <c r="Q170" i="5"/>
  <c r="M172" i="5"/>
  <c r="N172" i="5"/>
  <c r="N234" i="5" s="1"/>
  <c r="Q172" i="5"/>
  <c r="K180" i="5"/>
  <c r="L180" i="5"/>
  <c r="M180" i="5"/>
  <c r="N180" i="5"/>
  <c r="O180" i="5"/>
  <c r="P180" i="5"/>
  <c r="Q180" i="5"/>
  <c r="K182" i="5"/>
  <c r="L182" i="5"/>
  <c r="O182" i="5"/>
  <c r="P182" i="5"/>
  <c r="F188" i="5"/>
  <c r="F59" i="5" s="1"/>
  <c r="G188" i="5"/>
  <c r="H188" i="5"/>
  <c r="I58" i="5" s="1"/>
  <c r="I59" i="5" s="1"/>
  <c r="I188" i="5"/>
  <c r="I203" i="5" s="1"/>
  <c r="J188" i="5"/>
  <c r="L188" i="5"/>
  <c r="L203" i="5" s="1"/>
  <c r="M188" i="5"/>
  <c r="N58" i="5" s="1"/>
  <c r="N59" i="5" s="1"/>
  <c r="N188" i="5"/>
  <c r="O188" i="5"/>
  <c r="P188" i="5"/>
  <c r="P59" i="5" s="1"/>
  <c r="Q188" i="5"/>
  <c r="F191" i="5"/>
  <c r="F193" i="5" s="1"/>
  <c r="G191" i="5"/>
  <c r="G193" i="5" s="1"/>
  <c r="H191" i="5"/>
  <c r="H58" i="5" s="1"/>
  <c r="I191" i="5"/>
  <c r="J191" i="5"/>
  <c r="J193" i="5" s="1"/>
  <c r="L191" i="5"/>
  <c r="L193" i="5" s="1"/>
  <c r="M191" i="5"/>
  <c r="N191" i="5"/>
  <c r="O191" i="5"/>
  <c r="O58" i="5" s="1"/>
  <c r="P191" i="5"/>
  <c r="P193" i="5" s="1"/>
  <c r="Q191" i="5"/>
  <c r="Q193" i="5" s="1"/>
  <c r="I193" i="5"/>
  <c r="N193" i="5"/>
  <c r="F201" i="5"/>
  <c r="G201" i="5"/>
  <c r="H201" i="5"/>
  <c r="I201" i="5"/>
  <c r="J201" i="5"/>
  <c r="L201" i="5"/>
  <c r="M201" i="5"/>
  <c r="N201" i="5"/>
  <c r="O201" i="5"/>
  <c r="P201" i="5"/>
  <c r="Q201" i="5"/>
  <c r="F203" i="5"/>
  <c r="G203" i="5"/>
  <c r="J203" i="5"/>
  <c r="M203" i="5"/>
  <c r="N203" i="5"/>
  <c r="O203" i="5"/>
  <c r="P203" i="5"/>
  <c r="Q203" i="5"/>
  <c r="I207" i="5"/>
  <c r="J207" i="5"/>
  <c r="N207" i="5"/>
  <c r="O207" i="5"/>
  <c r="I208" i="5"/>
  <c r="N208" i="5"/>
  <c r="J209" i="5"/>
  <c r="O209" i="5"/>
  <c r="F214" i="5"/>
  <c r="G214" i="5"/>
  <c r="H214" i="5"/>
  <c r="I214" i="5"/>
  <c r="J214" i="5"/>
  <c r="K214" i="5"/>
  <c r="L214" i="5"/>
  <c r="L229" i="5" s="1"/>
  <c r="M214" i="5"/>
  <c r="M229" i="5" s="1"/>
  <c r="N214" i="5"/>
  <c r="O214" i="5"/>
  <c r="P214" i="5"/>
  <c r="Q214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F229" i="5"/>
  <c r="G229" i="5"/>
  <c r="H229" i="5"/>
  <c r="I229" i="5"/>
  <c r="J229" i="5"/>
  <c r="K229" i="5"/>
  <c r="N229" i="5"/>
  <c r="O229" i="5"/>
  <c r="P229" i="5"/>
  <c r="Q229" i="5"/>
  <c r="R229" i="5"/>
  <c r="H233" i="5"/>
  <c r="I233" i="5"/>
  <c r="J233" i="5"/>
  <c r="J234" i="5" s="1"/>
  <c r="L233" i="5"/>
  <c r="N233" i="5"/>
  <c r="O233" i="5"/>
  <c r="F234" i="5"/>
  <c r="H234" i="5"/>
  <c r="I234" i="5"/>
  <c r="I235" i="5"/>
  <c r="I236" i="5" s="1"/>
  <c r="J235" i="5"/>
  <c r="J236" i="5" s="1"/>
  <c r="L235" i="5"/>
  <c r="M235" i="5"/>
  <c r="N235" i="5"/>
  <c r="N236" i="5" s="1"/>
  <c r="O235" i="5"/>
  <c r="O236" i="5" s="1"/>
  <c r="P235" i="5"/>
  <c r="L236" i="5"/>
  <c r="M236" i="5"/>
  <c r="P236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F240" i="5"/>
  <c r="F255" i="5" s="1"/>
  <c r="Q240" i="5"/>
  <c r="Q255" i="5" s="1"/>
  <c r="F241" i="5"/>
  <c r="G241" i="5"/>
  <c r="H241" i="5"/>
  <c r="I241" i="5"/>
  <c r="J241" i="5"/>
  <c r="K241" i="5"/>
  <c r="L241" i="5"/>
  <c r="M241" i="5"/>
  <c r="N241" i="5"/>
  <c r="O241" i="5"/>
  <c r="P185" i="5" s="1"/>
  <c r="P241" i="5"/>
  <c r="Q241" i="5"/>
  <c r="F242" i="5"/>
  <c r="G242" i="5"/>
  <c r="H242" i="5"/>
  <c r="I242" i="5"/>
  <c r="J242" i="5"/>
  <c r="K242" i="5"/>
  <c r="L242" i="5"/>
  <c r="M242" i="5"/>
  <c r="N242" i="5"/>
  <c r="O242" i="5"/>
  <c r="P242" i="5"/>
  <c r="Q242" i="5"/>
  <c r="M243" i="5"/>
  <c r="F244" i="5"/>
  <c r="G244" i="5"/>
  <c r="H244" i="5"/>
  <c r="I244" i="5"/>
  <c r="J244" i="5"/>
  <c r="K244" i="5"/>
  <c r="L244" i="5"/>
  <c r="M244" i="5"/>
  <c r="N244" i="5"/>
  <c r="O244" i="5"/>
  <c r="P244" i="5"/>
  <c r="Q244" i="5"/>
  <c r="F246" i="5"/>
  <c r="G246" i="5"/>
  <c r="H246" i="5"/>
  <c r="I246" i="5"/>
  <c r="J246" i="5"/>
  <c r="K246" i="5"/>
  <c r="L246" i="5"/>
  <c r="M246" i="5"/>
  <c r="N246" i="5"/>
  <c r="O246" i="5"/>
  <c r="P246" i="5"/>
  <c r="Q246" i="5"/>
  <c r="F247" i="5"/>
  <c r="G247" i="5"/>
  <c r="H247" i="5"/>
  <c r="I247" i="5"/>
  <c r="J247" i="5"/>
  <c r="K247" i="5"/>
  <c r="L247" i="5"/>
  <c r="M247" i="5"/>
  <c r="N247" i="5"/>
  <c r="O247" i="5"/>
  <c r="P247" i="5"/>
  <c r="Q247" i="5"/>
  <c r="F248" i="5"/>
  <c r="G248" i="5"/>
  <c r="H248" i="5"/>
  <c r="I248" i="5"/>
  <c r="J248" i="5"/>
  <c r="K248" i="5"/>
  <c r="L248" i="5"/>
  <c r="M248" i="5"/>
  <c r="N248" i="5"/>
  <c r="O248" i="5"/>
  <c r="P248" i="5"/>
  <c r="Q248" i="5"/>
  <c r="F249" i="5"/>
  <c r="G249" i="5"/>
  <c r="H249" i="5"/>
  <c r="I249" i="5"/>
  <c r="J249" i="5"/>
  <c r="K249" i="5"/>
  <c r="L249" i="5"/>
  <c r="M249" i="5"/>
  <c r="N249" i="5"/>
  <c r="O249" i="5"/>
  <c r="P249" i="5"/>
  <c r="Q249" i="5"/>
  <c r="F250" i="5"/>
  <c r="G250" i="5"/>
  <c r="H250" i="5"/>
  <c r="I250" i="5"/>
  <c r="J250" i="5"/>
  <c r="K250" i="5"/>
  <c r="L250" i="5"/>
  <c r="M250" i="5"/>
  <c r="N250" i="5"/>
  <c r="O250" i="5"/>
  <c r="P250" i="5"/>
  <c r="Q250" i="5"/>
  <c r="F251" i="5"/>
  <c r="G251" i="5"/>
  <c r="H251" i="5"/>
  <c r="I251" i="5"/>
  <c r="J251" i="5"/>
  <c r="K251" i="5"/>
  <c r="L251" i="5"/>
  <c r="M251" i="5"/>
  <c r="M253" i="5" s="1"/>
  <c r="N251" i="5"/>
  <c r="O251" i="5"/>
  <c r="P251" i="5"/>
  <c r="F252" i="5"/>
  <c r="G252" i="5"/>
  <c r="H252" i="5"/>
  <c r="H253" i="5" s="1"/>
  <c r="I252" i="5"/>
  <c r="I253" i="5" s="1"/>
  <c r="J252" i="5"/>
  <c r="J253" i="5" s="1"/>
  <c r="K252" i="5"/>
  <c r="L252" i="5"/>
  <c r="M252" i="5"/>
  <c r="N252" i="5"/>
  <c r="N253" i="5" s="1"/>
  <c r="O252" i="5"/>
  <c r="P252" i="5"/>
  <c r="P253" i="5" s="1"/>
  <c r="F253" i="5"/>
  <c r="G253" i="5"/>
  <c r="K253" i="5"/>
  <c r="L253" i="5"/>
  <c r="O253" i="5"/>
  <c r="Q253" i="5"/>
  <c r="F254" i="5"/>
  <c r="G254" i="5"/>
  <c r="H254" i="5"/>
  <c r="I254" i="5"/>
  <c r="J254" i="5"/>
  <c r="K254" i="5"/>
  <c r="L254" i="5"/>
  <c r="M254" i="5"/>
  <c r="N254" i="5"/>
  <c r="O254" i="5"/>
  <c r="P254" i="5"/>
  <c r="Q254" i="5"/>
  <c r="F261" i="5"/>
  <c r="G261" i="5"/>
  <c r="G240" i="5" s="1"/>
  <c r="G255" i="5" s="1"/>
  <c r="H261" i="5"/>
  <c r="H240" i="5" s="1"/>
  <c r="I261" i="5"/>
  <c r="J261" i="5"/>
  <c r="J210" i="5" s="1"/>
  <c r="L261" i="5"/>
  <c r="M261" i="5"/>
  <c r="N261" i="5"/>
  <c r="N240" i="5" s="1"/>
  <c r="N255" i="5" s="1"/>
  <c r="O261" i="5"/>
  <c r="O210" i="5" s="1"/>
  <c r="P261" i="5"/>
  <c r="P240" i="5" s="1"/>
  <c r="Q261" i="5"/>
  <c r="Q276" i="5" s="1"/>
  <c r="F264" i="5"/>
  <c r="F243" i="5" s="1"/>
  <c r="F245" i="5" s="1"/>
  <c r="G264" i="5"/>
  <c r="G243" i="5" s="1"/>
  <c r="G245" i="5" s="1"/>
  <c r="H264" i="5"/>
  <c r="H243" i="5" s="1"/>
  <c r="I264" i="5"/>
  <c r="J264" i="5"/>
  <c r="J243" i="5" s="1"/>
  <c r="L264" i="5"/>
  <c r="L209" i="5" s="1"/>
  <c r="M264" i="5"/>
  <c r="N264" i="5"/>
  <c r="N209" i="5" s="1"/>
  <c r="N210" i="5" s="1"/>
  <c r="O264" i="5"/>
  <c r="O243" i="5" s="1"/>
  <c r="P264" i="5"/>
  <c r="P266" i="5" s="1"/>
  <c r="Q264" i="5"/>
  <c r="Q266" i="5" s="1"/>
  <c r="N266" i="5"/>
  <c r="F274" i="5"/>
  <c r="G274" i="5"/>
  <c r="H274" i="5"/>
  <c r="I274" i="5"/>
  <c r="J274" i="5"/>
  <c r="L274" i="5"/>
  <c r="M274" i="5"/>
  <c r="N274" i="5"/>
  <c r="O274" i="5"/>
  <c r="P274" i="5"/>
  <c r="Q274" i="5"/>
  <c r="F276" i="5"/>
  <c r="G276" i="5"/>
  <c r="M276" i="5"/>
  <c r="N276" i="5"/>
  <c r="O276" i="5"/>
  <c r="P276" i="5"/>
  <c r="F283" i="5"/>
  <c r="G283" i="5"/>
  <c r="H56" i="5" s="1"/>
  <c r="H283" i="5"/>
  <c r="I56" i="5" s="1"/>
  <c r="I283" i="5"/>
  <c r="I298" i="5" s="1"/>
  <c r="J283" i="5"/>
  <c r="J298" i="5" s="1"/>
  <c r="L283" i="5"/>
  <c r="M288" i="5" s="1"/>
  <c r="M283" i="5"/>
  <c r="N56" i="5" s="1"/>
  <c r="N283" i="5"/>
  <c r="N57" i="5" s="1"/>
  <c r="O283" i="5"/>
  <c r="P283" i="5"/>
  <c r="P57" i="5" s="1"/>
  <c r="Q283" i="5"/>
  <c r="F286" i="5"/>
  <c r="G286" i="5"/>
  <c r="G288" i="5" s="1"/>
  <c r="H286" i="5"/>
  <c r="H288" i="5" s="1"/>
  <c r="I286" i="5"/>
  <c r="I288" i="5" s="1"/>
  <c r="J286" i="5"/>
  <c r="L286" i="5"/>
  <c r="M286" i="5"/>
  <c r="N286" i="5"/>
  <c r="N288" i="5" s="1"/>
  <c r="O286" i="5"/>
  <c r="P286" i="5"/>
  <c r="P288" i="5" s="1"/>
  <c r="Q286" i="5"/>
  <c r="Q288" i="5" s="1"/>
  <c r="F288" i="5"/>
  <c r="J288" i="5"/>
  <c r="L288" i="5"/>
  <c r="O288" i="5"/>
  <c r="F296" i="5"/>
  <c r="G296" i="5"/>
  <c r="H296" i="5"/>
  <c r="I296" i="5"/>
  <c r="J296" i="5"/>
  <c r="L296" i="5"/>
  <c r="M296" i="5"/>
  <c r="N296" i="5"/>
  <c r="O296" i="5"/>
  <c r="P296" i="5"/>
  <c r="Q296" i="5"/>
  <c r="F298" i="5"/>
  <c r="G298" i="5"/>
  <c r="H298" i="5"/>
  <c r="N298" i="5"/>
  <c r="O298" i="5"/>
  <c r="P298" i="5"/>
  <c r="Q298" i="5"/>
  <c r="F299" i="5"/>
  <c r="F304" i="5"/>
  <c r="G304" i="5"/>
  <c r="H304" i="5"/>
  <c r="I304" i="5"/>
  <c r="J309" i="5" s="1"/>
  <c r="J304" i="5"/>
  <c r="J319" i="5" s="1"/>
  <c r="L304" i="5"/>
  <c r="L319" i="5" s="1"/>
  <c r="M304" i="5"/>
  <c r="M319" i="5" s="1"/>
  <c r="N304" i="5"/>
  <c r="O304" i="5"/>
  <c r="P304" i="5"/>
  <c r="Q304" i="5"/>
  <c r="F307" i="5"/>
  <c r="G307" i="5"/>
  <c r="G309" i="5" s="1"/>
  <c r="H307" i="5"/>
  <c r="H309" i="5" s="1"/>
  <c r="I307" i="5"/>
  <c r="I309" i="5" s="1"/>
  <c r="J307" i="5"/>
  <c r="L307" i="5"/>
  <c r="M307" i="5"/>
  <c r="M309" i="5" s="1"/>
  <c r="N307" i="5"/>
  <c r="O307" i="5"/>
  <c r="P307" i="5"/>
  <c r="P309" i="5" s="1"/>
  <c r="Q307" i="5"/>
  <c r="Q309" i="5" s="1"/>
  <c r="F309" i="5"/>
  <c r="L309" i="5"/>
  <c r="O309" i="5"/>
  <c r="F317" i="5"/>
  <c r="G317" i="5"/>
  <c r="H317" i="5"/>
  <c r="I317" i="5"/>
  <c r="J317" i="5"/>
  <c r="L317" i="5"/>
  <c r="M317" i="5"/>
  <c r="N317" i="5"/>
  <c r="O317" i="5"/>
  <c r="P317" i="5"/>
  <c r="Q317" i="5"/>
  <c r="F319" i="5"/>
  <c r="G319" i="5"/>
  <c r="H319" i="5"/>
  <c r="N319" i="5"/>
  <c r="O319" i="5"/>
  <c r="P319" i="5"/>
  <c r="Q319" i="5"/>
  <c r="F325" i="5"/>
  <c r="G325" i="5"/>
  <c r="H325" i="5"/>
  <c r="I325" i="5"/>
  <c r="J325" i="5"/>
  <c r="J340" i="5" s="1"/>
  <c r="L325" i="5"/>
  <c r="L340" i="5" s="1"/>
  <c r="M325" i="5"/>
  <c r="N330" i="5" s="1"/>
  <c r="N325" i="5"/>
  <c r="N340" i="5" s="1"/>
  <c r="O325" i="5"/>
  <c r="P325" i="5"/>
  <c r="Q325" i="5"/>
  <c r="F328" i="5"/>
  <c r="G328" i="5"/>
  <c r="H328" i="5"/>
  <c r="H330" i="5" s="1"/>
  <c r="I328" i="5"/>
  <c r="I330" i="5" s="1"/>
  <c r="J328" i="5"/>
  <c r="J330" i="5" s="1"/>
  <c r="L328" i="5"/>
  <c r="M328" i="5"/>
  <c r="N328" i="5"/>
  <c r="O328" i="5"/>
  <c r="O330" i="5" s="1"/>
  <c r="P328" i="5"/>
  <c r="Q328" i="5"/>
  <c r="Q330" i="5" s="1"/>
  <c r="F330" i="5"/>
  <c r="G330" i="5"/>
  <c r="L330" i="5"/>
  <c r="M330" i="5"/>
  <c r="P330" i="5"/>
  <c r="F338" i="5"/>
  <c r="G338" i="5"/>
  <c r="H338" i="5"/>
  <c r="I338" i="5"/>
  <c r="J338" i="5"/>
  <c r="L338" i="5"/>
  <c r="M338" i="5"/>
  <c r="N338" i="5"/>
  <c r="O338" i="5"/>
  <c r="P338" i="5"/>
  <c r="Q338" i="5"/>
  <c r="F340" i="5"/>
  <c r="G340" i="5"/>
  <c r="H340" i="5"/>
  <c r="I340" i="5"/>
  <c r="O340" i="5"/>
  <c r="P340" i="5"/>
  <c r="Q340" i="5"/>
  <c r="H11" i="4"/>
  <c r="H12" i="4" s="1"/>
  <c r="F12" i="4"/>
  <c r="G14" i="4"/>
  <c r="H14" i="4"/>
  <c r="I14" i="4"/>
  <c r="J11" i="4" s="1"/>
  <c r="J12" i="4" s="1"/>
  <c r="J14" i="4"/>
  <c r="K11" i="4" s="1"/>
  <c r="K12" i="4" s="1"/>
  <c r="K14" i="4"/>
  <c r="L11" i="4" s="1"/>
  <c r="L12" i="4" s="1"/>
  <c r="L14" i="4"/>
  <c r="M11" i="4" s="1"/>
  <c r="M14" i="4"/>
  <c r="M29" i="4" s="1"/>
  <c r="N14" i="4"/>
  <c r="N29" i="4" s="1"/>
  <c r="O14" i="4"/>
  <c r="P14" i="4"/>
  <c r="Q14" i="4"/>
  <c r="G17" i="4"/>
  <c r="H17" i="4"/>
  <c r="I17" i="4"/>
  <c r="I11" i="4" s="1"/>
  <c r="I12" i="4" s="1"/>
  <c r="J17" i="4"/>
  <c r="K17" i="4"/>
  <c r="L17" i="4"/>
  <c r="M17" i="4"/>
  <c r="N17" i="4"/>
  <c r="O17" i="4"/>
  <c r="P17" i="4"/>
  <c r="Q17" i="4"/>
  <c r="Q19" i="4" s="1"/>
  <c r="H19" i="4"/>
  <c r="J19" i="4"/>
  <c r="K19" i="4"/>
  <c r="L19" i="4"/>
  <c r="M19" i="4"/>
  <c r="O19" i="4"/>
  <c r="H27" i="4"/>
  <c r="I27" i="4"/>
  <c r="J27" i="4"/>
  <c r="K27" i="4"/>
  <c r="L27" i="4"/>
  <c r="M27" i="4"/>
  <c r="N27" i="4"/>
  <c r="O27" i="4"/>
  <c r="P27" i="4"/>
  <c r="Q27" i="4"/>
  <c r="H29" i="4"/>
  <c r="I29" i="4"/>
  <c r="J29" i="4"/>
  <c r="K29" i="4"/>
  <c r="L29" i="4"/>
  <c r="Q29" i="4"/>
  <c r="K33" i="4"/>
  <c r="L33" i="4"/>
  <c r="M33" i="4"/>
  <c r="O33" i="4"/>
  <c r="O34" i="4" s="1"/>
  <c r="F34" i="4"/>
  <c r="G37" i="4"/>
  <c r="H33" i="4" s="1"/>
  <c r="H37" i="4"/>
  <c r="H34" i="4" s="1"/>
  <c r="I37" i="4"/>
  <c r="J37" i="4"/>
  <c r="K37" i="4"/>
  <c r="K34" i="4" s="1"/>
  <c r="L37" i="4"/>
  <c r="L34" i="4" s="1"/>
  <c r="M37" i="4"/>
  <c r="M34" i="4" s="1"/>
  <c r="N37" i="4"/>
  <c r="O37" i="4"/>
  <c r="P37" i="4"/>
  <c r="Q37" i="4"/>
  <c r="G40" i="4"/>
  <c r="H40" i="4"/>
  <c r="I40" i="4"/>
  <c r="J40" i="4"/>
  <c r="J42" i="4" s="1"/>
  <c r="K40" i="4"/>
  <c r="K42" i="4" s="1"/>
  <c r="L40" i="4"/>
  <c r="L42" i="4" s="1"/>
  <c r="M40" i="4"/>
  <c r="M42" i="4" s="1"/>
  <c r="N40" i="4"/>
  <c r="N42" i="4" s="1"/>
  <c r="O40" i="4"/>
  <c r="O42" i="4" s="1"/>
  <c r="P40" i="4"/>
  <c r="P42" i="4" s="1"/>
  <c r="Q40" i="4"/>
  <c r="H42" i="4"/>
  <c r="Q42" i="4"/>
  <c r="H50" i="4"/>
  <c r="I50" i="4"/>
  <c r="J50" i="4"/>
  <c r="K50" i="4"/>
  <c r="L50" i="4"/>
  <c r="M50" i="4"/>
  <c r="N50" i="4"/>
  <c r="O50" i="4"/>
  <c r="P50" i="4"/>
  <c r="Q50" i="4"/>
  <c r="J52" i="4"/>
  <c r="N52" i="4"/>
  <c r="O52" i="4"/>
  <c r="P52" i="4"/>
  <c r="Q52" i="4"/>
  <c r="H56" i="4"/>
  <c r="H57" i="4" s="1"/>
  <c r="J56" i="4"/>
  <c r="J57" i="4" s="1"/>
  <c r="F57" i="4"/>
  <c r="G59" i="4"/>
  <c r="H59" i="4"/>
  <c r="I59" i="4"/>
  <c r="J59" i="4"/>
  <c r="K59" i="4"/>
  <c r="L56" i="4" s="1"/>
  <c r="L57" i="4" s="1"/>
  <c r="L59" i="4"/>
  <c r="M56" i="4" s="1"/>
  <c r="M57" i="4" s="1"/>
  <c r="M59" i="4"/>
  <c r="N56" i="4" s="1"/>
  <c r="N57" i="4" s="1"/>
  <c r="N59" i="4"/>
  <c r="O56" i="4" s="1"/>
  <c r="O59" i="4"/>
  <c r="P56" i="4" s="1"/>
  <c r="P57" i="4" s="1"/>
  <c r="P59" i="4"/>
  <c r="Q59" i="4"/>
  <c r="G62" i="4"/>
  <c r="H62" i="4"/>
  <c r="I62" i="4"/>
  <c r="I56" i="4" s="1"/>
  <c r="I57" i="4" s="1"/>
  <c r="J62" i="4"/>
  <c r="K62" i="4"/>
  <c r="K56" i="4" s="1"/>
  <c r="K57" i="4" s="1"/>
  <c r="L62" i="4"/>
  <c r="M62" i="4"/>
  <c r="N62" i="4"/>
  <c r="O62" i="4"/>
  <c r="P62" i="4"/>
  <c r="Q62" i="4"/>
  <c r="Q64" i="4" s="1"/>
  <c r="H75" i="4"/>
  <c r="I75" i="4"/>
  <c r="J75" i="4"/>
  <c r="K75" i="4"/>
  <c r="K252" i="4" s="1"/>
  <c r="L75" i="4"/>
  <c r="L252" i="4" s="1"/>
  <c r="M75" i="4"/>
  <c r="N75" i="4"/>
  <c r="N252" i="4" s="1"/>
  <c r="O75" i="4"/>
  <c r="P75" i="4"/>
  <c r="Q75" i="4"/>
  <c r="Q252" i="4" s="1"/>
  <c r="P78" i="4"/>
  <c r="F79" i="4"/>
  <c r="G82" i="4"/>
  <c r="H78" i="4" s="1"/>
  <c r="H79" i="4" s="1"/>
  <c r="H82" i="4"/>
  <c r="I78" i="4" s="1"/>
  <c r="I79" i="4" s="1"/>
  <c r="I82" i="4"/>
  <c r="J78" i="4" s="1"/>
  <c r="J79" i="4" s="1"/>
  <c r="J82" i="4"/>
  <c r="K78" i="4" s="1"/>
  <c r="K82" i="4"/>
  <c r="K97" i="4" s="1"/>
  <c r="L82" i="4"/>
  <c r="L97" i="4" s="1"/>
  <c r="M82" i="4"/>
  <c r="N82" i="4"/>
  <c r="O82" i="4"/>
  <c r="P82" i="4"/>
  <c r="P79" i="4" s="1"/>
  <c r="Q82" i="4"/>
  <c r="Q97" i="4" s="1"/>
  <c r="G85" i="4"/>
  <c r="H85" i="4"/>
  <c r="I85" i="4"/>
  <c r="J85" i="4"/>
  <c r="K85" i="4"/>
  <c r="L85" i="4"/>
  <c r="M85" i="4"/>
  <c r="N85" i="4"/>
  <c r="O85" i="4"/>
  <c r="O87" i="4" s="1"/>
  <c r="P85" i="4"/>
  <c r="P87" i="4" s="1"/>
  <c r="Q85" i="4"/>
  <c r="Q87" i="4" s="1"/>
  <c r="H87" i="4"/>
  <c r="I87" i="4"/>
  <c r="J87" i="4"/>
  <c r="K87" i="4"/>
  <c r="M87" i="4"/>
  <c r="H95" i="4"/>
  <c r="I95" i="4"/>
  <c r="J95" i="4"/>
  <c r="K95" i="4"/>
  <c r="L95" i="4"/>
  <c r="M95" i="4"/>
  <c r="N95" i="4"/>
  <c r="O95" i="4"/>
  <c r="P95" i="4"/>
  <c r="Q95" i="4"/>
  <c r="H97" i="4"/>
  <c r="I97" i="4"/>
  <c r="J97" i="4"/>
  <c r="O97" i="4"/>
  <c r="I101" i="4"/>
  <c r="J101" i="4"/>
  <c r="K101" i="4"/>
  <c r="M101" i="4"/>
  <c r="M102" i="4" s="1"/>
  <c r="O101" i="4"/>
  <c r="O102" i="4" s="1"/>
  <c r="F102" i="4"/>
  <c r="G105" i="4"/>
  <c r="G236" i="4" s="1"/>
  <c r="G251" i="4" s="1"/>
  <c r="H105" i="4"/>
  <c r="I105" i="4"/>
  <c r="I102" i="4" s="1"/>
  <c r="J105" i="4"/>
  <c r="J102" i="4" s="1"/>
  <c r="K105" i="4"/>
  <c r="K102" i="4" s="1"/>
  <c r="L105" i="4"/>
  <c r="M105" i="4"/>
  <c r="N105" i="4"/>
  <c r="O105" i="4"/>
  <c r="P105" i="4"/>
  <c r="Q105" i="4"/>
  <c r="G108" i="4"/>
  <c r="H108" i="4"/>
  <c r="H110" i="4" s="1"/>
  <c r="I108" i="4"/>
  <c r="I110" i="4" s="1"/>
  <c r="J108" i="4"/>
  <c r="J110" i="4" s="1"/>
  <c r="K108" i="4"/>
  <c r="K239" i="4" s="1"/>
  <c r="L108" i="4"/>
  <c r="L110" i="4" s="1"/>
  <c r="M108" i="4"/>
  <c r="M110" i="4" s="1"/>
  <c r="N108" i="4"/>
  <c r="N239" i="4" s="1"/>
  <c r="O108" i="4"/>
  <c r="O239" i="4" s="1"/>
  <c r="P108" i="4"/>
  <c r="P101" i="4" s="1"/>
  <c r="P102" i="4" s="1"/>
  <c r="Q108" i="4"/>
  <c r="O110" i="4"/>
  <c r="Q110" i="4"/>
  <c r="H118" i="4"/>
  <c r="I118" i="4"/>
  <c r="J118" i="4"/>
  <c r="K118" i="4"/>
  <c r="L118" i="4"/>
  <c r="M118" i="4"/>
  <c r="N118" i="4"/>
  <c r="O118" i="4"/>
  <c r="P118" i="4"/>
  <c r="Q118" i="4"/>
  <c r="H120" i="4"/>
  <c r="L120" i="4"/>
  <c r="M120" i="4"/>
  <c r="N120" i="4"/>
  <c r="O120" i="4"/>
  <c r="P120" i="4"/>
  <c r="Q120" i="4"/>
  <c r="I124" i="4"/>
  <c r="I125" i="4" s="1"/>
  <c r="O124" i="4"/>
  <c r="O125" i="4"/>
  <c r="G128" i="4"/>
  <c r="H128" i="4"/>
  <c r="I128" i="4"/>
  <c r="J128" i="4"/>
  <c r="K124" i="4" s="1"/>
  <c r="K125" i="4" s="1"/>
  <c r="K128" i="4"/>
  <c r="L124" i="4" s="1"/>
  <c r="L125" i="4" s="1"/>
  <c r="L128" i="4"/>
  <c r="M124" i="4" s="1"/>
  <c r="M125" i="4" s="1"/>
  <c r="M128" i="4"/>
  <c r="N124" i="4" s="1"/>
  <c r="N125" i="4" s="1"/>
  <c r="N128" i="4"/>
  <c r="O128" i="4"/>
  <c r="P124" i="4" s="1"/>
  <c r="P128" i="4"/>
  <c r="P143" i="4" s="1"/>
  <c r="Q128" i="4"/>
  <c r="Q143" i="4" s="1"/>
  <c r="G131" i="4"/>
  <c r="H131" i="4"/>
  <c r="H133" i="4" s="1"/>
  <c r="I131" i="4"/>
  <c r="I133" i="4" s="1"/>
  <c r="J131" i="4"/>
  <c r="J124" i="4" s="1"/>
  <c r="J125" i="4" s="1"/>
  <c r="K131" i="4"/>
  <c r="L131" i="4"/>
  <c r="L239" i="4" s="1"/>
  <c r="M131" i="4"/>
  <c r="M239" i="4" s="1"/>
  <c r="M241" i="4" s="1"/>
  <c r="N131" i="4"/>
  <c r="O131" i="4"/>
  <c r="P131" i="4"/>
  <c r="Q131" i="4"/>
  <c r="K133" i="4"/>
  <c r="M133" i="4"/>
  <c r="N133" i="4"/>
  <c r="O133" i="4"/>
  <c r="P133" i="4"/>
  <c r="H141" i="4"/>
  <c r="I141" i="4"/>
  <c r="J141" i="4"/>
  <c r="K141" i="4"/>
  <c r="L141" i="4"/>
  <c r="M141" i="4"/>
  <c r="N141" i="4"/>
  <c r="O141" i="4"/>
  <c r="P141" i="4"/>
  <c r="Q141" i="4"/>
  <c r="H143" i="4"/>
  <c r="I143" i="4"/>
  <c r="J143" i="4"/>
  <c r="K143" i="4"/>
  <c r="L143" i="4"/>
  <c r="M143" i="4"/>
  <c r="N143" i="4"/>
  <c r="O143" i="4"/>
  <c r="G151" i="4"/>
  <c r="H151" i="4"/>
  <c r="I151" i="4"/>
  <c r="J151" i="4"/>
  <c r="K151" i="4"/>
  <c r="L151" i="4"/>
  <c r="L166" i="4" s="1"/>
  <c r="M151" i="4"/>
  <c r="M166" i="4" s="1"/>
  <c r="N151" i="4"/>
  <c r="O156" i="4" s="1"/>
  <c r="O151" i="4"/>
  <c r="O166" i="4" s="1"/>
  <c r="P151" i="4"/>
  <c r="Q151" i="4"/>
  <c r="Q166" i="4" s="1"/>
  <c r="G154" i="4"/>
  <c r="H154" i="4"/>
  <c r="H156" i="4" s="1"/>
  <c r="I154" i="4"/>
  <c r="J154" i="4"/>
  <c r="K154" i="4"/>
  <c r="L154" i="4"/>
  <c r="M154" i="4"/>
  <c r="N154" i="4"/>
  <c r="O154" i="4"/>
  <c r="P154" i="4"/>
  <c r="P156" i="4" s="1"/>
  <c r="Q154" i="4"/>
  <c r="Q156" i="4" s="1"/>
  <c r="I156" i="4"/>
  <c r="J156" i="4"/>
  <c r="K156" i="4"/>
  <c r="L156" i="4"/>
  <c r="M156" i="4"/>
  <c r="N156" i="4"/>
  <c r="H164" i="4"/>
  <c r="I164" i="4"/>
  <c r="J164" i="4"/>
  <c r="K164" i="4"/>
  <c r="L164" i="4"/>
  <c r="M164" i="4"/>
  <c r="N164" i="4"/>
  <c r="O164" i="4"/>
  <c r="P164" i="4"/>
  <c r="Q164" i="4"/>
  <c r="H166" i="4"/>
  <c r="I166" i="4"/>
  <c r="J166" i="4"/>
  <c r="K166" i="4"/>
  <c r="P166" i="4"/>
  <c r="G173" i="4"/>
  <c r="H173" i="4"/>
  <c r="H188" i="4" s="1"/>
  <c r="I173" i="4"/>
  <c r="I188" i="4" s="1"/>
  <c r="J173" i="4"/>
  <c r="K178" i="4" s="1"/>
  <c r="K173" i="4"/>
  <c r="K188" i="4" s="1"/>
  <c r="L173" i="4"/>
  <c r="M173" i="4"/>
  <c r="M188" i="4" s="1"/>
  <c r="N173" i="4"/>
  <c r="N188" i="4" s="1"/>
  <c r="O173" i="4"/>
  <c r="O188" i="4" s="1"/>
  <c r="P173" i="4"/>
  <c r="Q173" i="4"/>
  <c r="G176" i="4"/>
  <c r="H176" i="4"/>
  <c r="I176" i="4"/>
  <c r="J176" i="4"/>
  <c r="K176" i="4"/>
  <c r="L176" i="4"/>
  <c r="L178" i="4" s="1"/>
  <c r="M176" i="4"/>
  <c r="M178" i="4" s="1"/>
  <c r="N176" i="4"/>
  <c r="N178" i="4" s="1"/>
  <c r="O176" i="4"/>
  <c r="O178" i="4" s="1"/>
  <c r="P176" i="4"/>
  <c r="P178" i="4" s="1"/>
  <c r="Q176" i="4"/>
  <c r="Q178" i="4" s="1"/>
  <c r="H178" i="4"/>
  <c r="I178" i="4"/>
  <c r="J178" i="4"/>
  <c r="H186" i="4"/>
  <c r="I186" i="4"/>
  <c r="J186" i="4"/>
  <c r="K186" i="4"/>
  <c r="L186" i="4"/>
  <c r="M186" i="4"/>
  <c r="N186" i="4"/>
  <c r="O186" i="4"/>
  <c r="P186" i="4"/>
  <c r="Q186" i="4"/>
  <c r="L188" i="4"/>
  <c r="P188" i="4"/>
  <c r="Q188" i="4"/>
  <c r="N194" i="4"/>
  <c r="O194" i="4"/>
  <c r="P194" i="4"/>
  <c r="Q199" i="4" s="1"/>
  <c r="Q194" i="4"/>
  <c r="N197" i="4"/>
  <c r="N199" i="4" s="1"/>
  <c r="O197" i="4"/>
  <c r="O199" i="4" s="1"/>
  <c r="P197" i="4"/>
  <c r="Q197" i="4"/>
  <c r="P199" i="4"/>
  <c r="N207" i="4"/>
  <c r="O207" i="4"/>
  <c r="P207" i="4"/>
  <c r="Q207" i="4"/>
  <c r="N209" i="4"/>
  <c r="O209" i="4"/>
  <c r="P209" i="4"/>
  <c r="Q209" i="4"/>
  <c r="O215" i="4"/>
  <c r="P220" i="4" s="1"/>
  <c r="P215" i="4"/>
  <c r="Q220" i="4" s="1"/>
  <c r="Q215" i="4"/>
  <c r="O218" i="4"/>
  <c r="P218" i="4"/>
  <c r="Q218" i="4"/>
  <c r="O220" i="4"/>
  <c r="O228" i="4"/>
  <c r="P228" i="4"/>
  <c r="Q228" i="4"/>
  <c r="O230" i="4"/>
  <c r="Q230" i="4"/>
  <c r="G235" i="4"/>
  <c r="H235" i="4"/>
  <c r="I235" i="4"/>
  <c r="J235" i="4"/>
  <c r="K235" i="4"/>
  <c r="L235" i="4"/>
  <c r="M235" i="4"/>
  <c r="N235" i="4"/>
  <c r="O235" i="4"/>
  <c r="P235" i="4"/>
  <c r="Q235" i="4"/>
  <c r="H236" i="4"/>
  <c r="H251" i="4" s="1"/>
  <c r="L236" i="4"/>
  <c r="L251" i="4" s="1"/>
  <c r="G237" i="4"/>
  <c r="H237" i="4"/>
  <c r="I237" i="4"/>
  <c r="J237" i="4"/>
  <c r="K237" i="4"/>
  <c r="L237" i="4"/>
  <c r="M237" i="4"/>
  <c r="N237" i="4"/>
  <c r="O237" i="4"/>
  <c r="P233" i="4" s="1"/>
  <c r="P237" i="4"/>
  <c r="Q237" i="4"/>
  <c r="G238" i="4"/>
  <c r="H238" i="4"/>
  <c r="I238" i="4"/>
  <c r="J238" i="4"/>
  <c r="K238" i="4"/>
  <c r="L238" i="4"/>
  <c r="M238" i="4"/>
  <c r="N238" i="4"/>
  <c r="O238" i="4"/>
  <c r="P238" i="4"/>
  <c r="Q238" i="4"/>
  <c r="G239" i="4"/>
  <c r="G240" i="4"/>
  <c r="H240" i="4"/>
  <c r="I240" i="4"/>
  <c r="J240" i="4"/>
  <c r="K240" i="4"/>
  <c r="L240" i="4"/>
  <c r="M240" i="4"/>
  <c r="N240" i="4"/>
  <c r="O240" i="4"/>
  <c r="P240" i="4"/>
  <c r="Q240" i="4"/>
  <c r="G242" i="4"/>
  <c r="H242" i="4"/>
  <c r="I242" i="4"/>
  <c r="J242" i="4"/>
  <c r="K242" i="4"/>
  <c r="L242" i="4"/>
  <c r="M242" i="4"/>
  <c r="N242" i="4"/>
  <c r="O242" i="4"/>
  <c r="P242" i="4"/>
  <c r="Q242" i="4"/>
  <c r="G243" i="4"/>
  <c r="H243" i="4"/>
  <c r="I243" i="4"/>
  <c r="J243" i="4"/>
  <c r="K243" i="4"/>
  <c r="L243" i="4"/>
  <c r="M243" i="4"/>
  <c r="N243" i="4"/>
  <c r="O243" i="4"/>
  <c r="P243" i="4"/>
  <c r="Q243" i="4"/>
  <c r="G244" i="4"/>
  <c r="H244" i="4"/>
  <c r="I244" i="4"/>
  <c r="J244" i="4"/>
  <c r="K244" i="4"/>
  <c r="L244" i="4"/>
  <c r="M244" i="4"/>
  <c r="N244" i="4"/>
  <c r="O244" i="4"/>
  <c r="P244" i="4"/>
  <c r="Q244" i="4"/>
  <c r="G245" i="4"/>
  <c r="H245" i="4"/>
  <c r="I245" i="4"/>
  <c r="J245" i="4"/>
  <c r="K245" i="4"/>
  <c r="L245" i="4"/>
  <c r="M245" i="4"/>
  <c r="N245" i="4"/>
  <c r="O245" i="4"/>
  <c r="P245" i="4"/>
  <c r="Q245" i="4"/>
  <c r="G246" i="4"/>
  <c r="H246" i="4"/>
  <c r="I246" i="4"/>
  <c r="J246" i="4"/>
  <c r="K246" i="4"/>
  <c r="L246" i="4"/>
  <c r="M246" i="4"/>
  <c r="N246" i="4"/>
  <c r="O246" i="4"/>
  <c r="P246" i="4"/>
  <c r="Q246" i="4"/>
  <c r="G247" i="4"/>
  <c r="H247" i="4"/>
  <c r="I247" i="4"/>
  <c r="J247" i="4"/>
  <c r="K247" i="4"/>
  <c r="L247" i="4"/>
  <c r="M247" i="4"/>
  <c r="N247" i="4"/>
  <c r="O247" i="4"/>
  <c r="P247" i="4"/>
  <c r="P249" i="4" s="1"/>
  <c r="Q247" i="4"/>
  <c r="Q249" i="4" s="1"/>
  <c r="G248" i="4"/>
  <c r="G249" i="4" s="1"/>
  <c r="H248" i="4"/>
  <c r="I248" i="4"/>
  <c r="J248" i="4"/>
  <c r="K248" i="4"/>
  <c r="L248" i="4"/>
  <c r="M248" i="4"/>
  <c r="N248" i="4"/>
  <c r="O248" i="4"/>
  <c r="O249" i="4" s="1"/>
  <c r="P248" i="4"/>
  <c r="Q248" i="4"/>
  <c r="H249" i="4"/>
  <c r="I249" i="4"/>
  <c r="J249" i="4"/>
  <c r="K249" i="4"/>
  <c r="L249" i="4"/>
  <c r="M249" i="4"/>
  <c r="N249" i="4"/>
  <c r="R249" i="4"/>
  <c r="G250" i="4"/>
  <c r="H250" i="4"/>
  <c r="I250" i="4"/>
  <c r="J250" i="4"/>
  <c r="K250" i="4"/>
  <c r="L250" i="4"/>
  <c r="M250" i="4"/>
  <c r="N250" i="4"/>
  <c r="O250" i="4"/>
  <c r="P250" i="4"/>
  <c r="Q250" i="4"/>
  <c r="G252" i="4"/>
  <c r="H252" i="4"/>
  <c r="I252" i="4"/>
  <c r="J252" i="4"/>
  <c r="M252" i="4"/>
  <c r="G253" i="4"/>
  <c r="H253" i="4"/>
  <c r="I253" i="4"/>
  <c r="J253" i="4"/>
  <c r="K253" i="4"/>
  <c r="L253" i="4"/>
  <c r="M253" i="4"/>
  <c r="N253" i="4"/>
  <c r="O253" i="4"/>
  <c r="P253" i="4"/>
  <c r="Q253" i="4"/>
  <c r="G257" i="4"/>
  <c r="G272" i="4" s="1"/>
  <c r="H257" i="4"/>
  <c r="H272" i="4" s="1"/>
  <c r="I257" i="4"/>
  <c r="I272" i="4" s="1"/>
  <c r="J257" i="4"/>
  <c r="K257" i="4"/>
  <c r="L257" i="4"/>
  <c r="M257" i="4"/>
  <c r="N257" i="4"/>
  <c r="O262" i="4" s="1"/>
  <c r="O257" i="4"/>
  <c r="P257" i="4"/>
  <c r="Q257" i="4"/>
  <c r="G260" i="4"/>
  <c r="H260" i="4"/>
  <c r="I260" i="4"/>
  <c r="J260" i="4"/>
  <c r="K260" i="4"/>
  <c r="L260" i="4"/>
  <c r="L262" i="4" s="1"/>
  <c r="M260" i="4"/>
  <c r="M262" i="4" s="1"/>
  <c r="N260" i="4"/>
  <c r="N262" i="4" s="1"/>
  <c r="O260" i="4"/>
  <c r="P260" i="4"/>
  <c r="Q260" i="4"/>
  <c r="P262" i="4"/>
  <c r="Q262" i="4"/>
  <c r="G270" i="4"/>
  <c r="H270" i="4"/>
  <c r="I270" i="4"/>
  <c r="J270" i="4"/>
  <c r="K270" i="4"/>
  <c r="L270" i="4"/>
  <c r="M270" i="4"/>
  <c r="N270" i="4"/>
  <c r="O270" i="4"/>
  <c r="P270" i="4"/>
  <c r="Q270" i="4"/>
  <c r="J272" i="4"/>
  <c r="K272" i="4"/>
  <c r="L272" i="4"/>
  <c r="M272" i="4"/>
  <c r="O272" i="4"/>
  <c r="P272" i="4"/>
  <c r="Q272" i="4"/>
  <c r="L11" i="3"/>
  <c r="L12" i="3" s="1"/>
  <c r="F14" i="3"/>
  <c r="F29" i="3" s="1"/>
  <c r="G14" i="3"/>
  <c r="H11" i="3" s="1"/>
  <c r="H12" i="3" s="1"/>
  <c r="H14" i="3"/>
  <c r="I11" i="3" s="1"/>
  <c r="I12" i="3" s="1"/>
  <c r="I14" i="3"/>
  <c r="J14" i="3"/>
  <c r="J29" i="3" s="1"/>
  <c r="K14" i="3"/>
  <c r="K12" i="3" s="1"/>
  <c r="L14" i="3"/>
  <c r="L29" i="3" s="1"/>
  <c r="M14" i="3"/>
  <c r="N14" i="3"/>
  <c r="O14" i="3"/>
  <c r="P14" i="3"/>
  <c r="Q14" i="3"/>
  <c r="Q29" i="3" s="1"/>
  <c r="G17" i="3"/>
  <c r="H17" i="3"/>
  <c r="I17" i="3"/>
  <c r="J17" i="3"/>
  <c r="J11" i="3" s="1"/>
  <c r="J12" i="3" s="1"/>
  <c r="K17" i="3"/>
  <c r="K11" i="3" s="1"/>
  <c r="L17" i="3"/>
  <c r="M17" i="3"/>
  <c r="M19" i="3" s="1"/>
  <c r="N17" i="3"/>
  <c r="O17" i="3"/>
  <c r="P17" i="3"/>
  <c r="Q17" i="3"/>
  <c r="H19" i="3"/>
  <c r="I19" i="3"/>
  <c r="L19" i="3"/>
  <c r="Q19" i="3"/>
  <c r="R19" i="3"/>
  <c r="F27" i="3"/>
  <c r="G27" i="3"/>
  <c r="H27" i="3"/>
  <c r="I27" i="3"/>
  <c r="J27" i="3"/>
  <c r="K27" i="3"/>
  <c r="L27" i="3"/>
  <c r="M27" i="3"/>
  <c r="N27" i="3"/>
  <c r="O27" i="3"/>
  <c r="P27" i="3"/>
  <c r="Q27" i="3"/>
  <c r="G29" i="3"/>
  <c r="H29" i="3"/>
  <c r="I29" i="3"/>
  <c r="K29" i="3"/>
  <c r="P29" i="3"/>
  <c r="H33" i="3"/>
  <c r="L33" i="3"/>
  <c r="L34" i="3" s="1"/>
  <c r="H34" i="3"/>
  <c r="F37" i="3"/>
  <c r="F52" i="3" s="1"/>
  <c r="G37" i="3"/>
  <c r="H37" i="3"/>
  <c r="I33" i="3" s="1"/>
  <c r="I34" i="3" s="1"/>
  <c r="I37" i="3"/>
  <c r="J37" i="3"/>
  <c r="K37" i="3"/>
  <c r="K34" i="3" s="1"/>
  <c r="L37" i="3"/>
  <c r="L52" i="3" s="1"/>
  <c r="M37" i="3"/>
  <c r="N37" i="3"/>
  <c r="O37" i="3"/>
  <c r="P37" i="3"/>
  <c r="Q37" i="3"/>
  <c r="G40" i="3"/>
  <c r="H40" i="3"/>
  <c r="I40" i="3"/>
  <c r="J40" i="3"/>
  <c r="J33" i="3" s="1"/>
  <c r="J34" i="3" s="1"/>
  <c r="K40" i="3"/>
  <c r="K33" i="3" s="1"/>
  <c r="L40" i="3"/>
  <c r="M40" i="3"/>
  <c r="M42" i="3" s="1"/>
  <c r="N40" i="3"/>
  <c r="O40" i="3"/>
  <c r="P40" i="3"/>
  <c r="Q40" i="3"/>
  <c r="Q42" i="3" s="1"/>
  <c r="H42" i="3"/>
  <c r="I42" i="3"/>
  <c r="L42" i="3"/>
  <c r="F50" i="3"/>
  <c r="G50" i="3"/>
  <c r="H50" i="3"/>
  <c r="I50" i="3"/>
  <c r="J50" i="3"/>
  <c r="K50" i="3"/>
  <c r="L50" i="3"/>
  <c r="M50" i="3"/>
  <c r="N50" i="3"/>
  <c r="O50" i="3"/>
  <c r="P50" i="3"/>
  <c r="Q50" i="3"/>
  <c r="G52" i="3"/>
  <c r="H52" i="3"/>
  <c r="I52" i="3"/>
  <c r="J52" i="3"/>
  <c r="K52" i="3"/>
  <c r="P52" i="3"/>
  <c r="Q52" i="3"/>
  <c r="I56" i="3"/>
  <c r="L56" i="3"/>
  <c r="M56" i="3"/>
  <c r="M57" i="3" s="1"/>
  <c r="N56" i="3"/>
  <c r="I57" i="3"/>
  <c r="F59" i="3"/>
  <c r="F74" i="3" s="1"/>
  <c r="G59" i="3"/>
  <c r="H59" i="3"/>
  <c r="I59" i="3"/>
  <c r="J56" i="3" s="1"/>
  <c r="J57" i="3" s="1"/>
  <c r="J59" i="3"/>
  <c r="K59" i="3"/>
  <c r="K74" i="3" s="1"/>
  <c r="L59" i="3"/>
  <c r="L57" i="3" s="1"/>
  <c r="M59" i="3"/>
  <c r="M74" i="3" s="1"/>
  <c r="N59" i="3"/>
  <c r="N57" i="3" s="1"/>
  <c r="O59" i="3"/>
  <c r="P59" i="3"/>
  <c r="Q59" i="3"/>
  <c r="F62" i="3"/>
  <c r="G62" i="3"/>
  <c r="H62" i="3"/>
  <c r="I62" i="3"/>
  <c r="J62" i="3"/>
  <c r="J64" i="3" s="1"/>
  <c r="K62" i="3"/>
  <c r="K56" i="3" s="1"/>
  <c r="K57" i="3" s="1"/>
  <c r="L62" i="3"/>
  <c r="M62" i="3"/>
  <c r="M64" i="3" s="1"/>
  <c r="N62" i="3"/>
  <c r="O62" i="3"/>
  <c r="P62" i="3"/>
  <c r="Q62" i="3"/>
  <c r="H64" i="3"/>
  <c r="I64" i="3"/>
  <c r="L64" i="3"/>
  <c r="N64" i="3"/>
  <c r="O64" i="3"/>
  <c r="P64" i="3"/>
  <c r="F72" i="3"/>
  <c r="G72" i="3"/>
  <c r="H72" i="3"/>
  <c r="I72" i="3"/>
  <c r="J72" i="3"/>
  <c r="K72" i="3"/>
  <c r="L72" i="3"/>
  <c r="M72" i="3"/>
  <c r="N72" i="3"/>
  <c r="O72" i="3"/>
  <c r="P72" i="3"/>
  <c r="Q72" i="3"/>
  <c r="G74" i="3"/>
  <c r="H74" i="3"/>
  <c r="I74" i="3"/>
  <c r="J74" i="3"/>
  <c r="L74" i="3"/>
  <c r="Q74" i="3"/>
  <c r="I78" i="3"/>
  <c r="M78" i="3"/>
  <c r="M79" i="3" s="1"/>
  <c r="I79" i="3"/>
  <c r="F82" i="3"/>
  <c r="F97" i="3" s="1"/>
  <c r="G82" i="3"/>
  <c r="G97" i="3" s="1"/>
  <c r="H82" i="3"/>
  <c r="I82" i="3"/>
  <c r="J78" i="3" s="1"/>
  <c r="J79" i="3" s="1"/>
  <c r="J82" i="3"/>
  <c r="K82" i="3"/>
  <c r="L82" i="3"/>
  <c r="M82" i="3"/>
  <c r="M97" i="3" s="1"/>
  <c r="N82" i="3"/>
  <c r="O82" i="3"/>
  <c r="P82" i="3"/>
  <c r="Q82" i="3"/>
  <c r="G85" i="3"/>
  <c r="G199" i="3" s="1"/>
  <c r="G201" i="3" s="1"/>
  <c r="H85" i="3"/>
  <c r="I85" i="3"/>
  <c r="J85" i="3"/>
  <c r="K85" i="3"/>
  <c r="K78" i="3" s="1"/>
  <c r="K79" i="3" s="1"/>
  <c r="L85" i="3"/>
  <c r="L78" i="3" s="1"/>
  <c r="M85" i="3"/>
  <c r="N85" i="3"/>
  <c r="N87" i="3" s="1"/>
  <c r="O85" i="3"/>
  <c r="P85" i="3"/>
  <c r="Q85" i="3"/>
  <c r="I87" i="3"/>
  <c r="J87" i="3"/>
  <c r="M87" i="3"/>
  <c r="F95" i="3"/>
  <c r="G95" i="3"/>
  <c r="H95" i="3"/>
  <c r="I95" i="3"/>
  <c r="J95" i="3"/>
  <c r="K95" i="3"/>
  <c r="L95" i="3"/>
  <c r="M95" i="3"/>
  <c r="N95" i="3"/>
  <c r="O95" i="3"/>
  <c r="P95" i="3"/>
  <c r="Q95" i="3"/>
  <c r="H97" i="3"/>
  <c r="I97" i="3"/>
  <c r="J97" i="3"/>
  <c r="K97" i="3"/>
  <c r="L97" i="3"/>
  <c r="Q97" i="3"/>
  <c r="G101" i="3"/>
  <c r="J101" i="3"/>
  <c r="N101" i="3"/>
  <c r="N102" i="3" s="1"/>
  <c r="J102" i="3"/>
  <c r="F105" i="3"/>
  <c r="F102" i="3" s="1"/>
  <c r="G105" i="3"/>
  <c r="G120" i="3" s="1"/>
  <c r="H105" i="3"/>
  <c r="I101" i="3" s="1"/>
  <c r="I105" i="3"/>
  <c r="I102" i="3" s="1"/>
  <c r="J105" i="3"/>
  <c r="K101" i="3" s="1"/>
  <c r="K102" i="3" s="1"/>
  <c r="K105" i="3"/>
  <c r="L105" i="3"/>
  <c r="M105" i="3"/>
  <c r="N105" i="3"/>
  <c r="N120" i="3" s="1"/>
  <c r="O105" i="3"/>
  <c r="P105" i="3"/>
  <c r="Q105" i="3"/>
  <c r="Q196" i="3" s="1"/>
  <c r="Q211" i="3" s="1"/>
  <c r="G108" i="3"/>
  <c r="G110" i="3" s="1"/>
  <c r="H108" i="3"/>
  <c r="H110" i="3" s="1"/>
  <c r="I108" i="3"/>
  <c r="J108" i="3"/>
  <c r="K108" i="3"/>
  <c r="L108" i="3"/>
  <c r="L101" i="3" s="1"/>
  <c r="L102" i="3" s="1"/>
  <c r="M108" i="3"/>
  <c r="M110" i="3" s="1"/>
  <c r="N108" i="3"/>
  <c r="O108" i="3"/>
  <c r="O110" i="3" s="1"/>
  <c r="P108" i="3"/>
  <c r="Q108" i="3"/>
  <c r="J110" i="3"/>
  <c r="K110" i="3"/>
  <c r="N110" i="3"/>
  <c r="F118" i="3"/>
  <c r="G118" i="3"/>
  <c r="H118" i="3"/>
  <c r="I118" i="3"/>
  <c r="J118" i="3"/>
  <c r="K118" i="3"/>
  <c r="L118" i="3"/>
  <c r="M118" i="3"/>
  <c r="N118" i="3"/>
  <c r="O118" i="3"/>
  <c r="P118" i="3"/>
  <c r="Q118" i="3"/>
  <c r="F120" i="3"/>
  <c r="I120" i="3"/>
  <c r="J120" i="3"/>
  <c r="K120" i="3"/>
  <c r="L120" i="3"/>
  <c r="M120" i="3"/>
  <c r="I124" i="3"/>
  <c r="I125" i="3" s="1"/>
  <c r="J124" i="3"/>
  <c r="M124" i="3"/>
  <c r="P124" i="3"/>
  <c r="P125" i="3" s="1"/>
  <c r="F128" i="3"/>
  <c r="G133" i="3" s="1"/>
  <c r="G128" i="3"/>
  <c r="H133" i="3" s="1"/>
  <c r="H128" i="3"/>
  <c r="I128" i="3"/>
  <c r="J128" i="3"/>
  <c r="J125" i="3" s="1"/>
  <c r="K128" i="3"/>
  <c r="L128" i="3"/>
  <c r="M128" i="3"/>
  <c r="N124" i="3" s="1"/>
  <c r="N128" i="3"/>
  <c r="O124" i="3" s="1"/>
  <c r="O128" i="3"/>
  <c r="O125" i="3" s="1"/>
  <c r="P128" i="3"/>
  <c r="Q128" i="3"/>
  <c r="G131" i="3"/>
  <c r="H131" i="3"/>
  <c r="I131" i="3"/>
  <c r="J131" i="3"/>
  <c r="J133" i="3" s="1"/>
  <c r="K131" i="3"/>
  <c r="K199" i="3" s="1"/>
  <c r="K201" i="3" s="1"/>
  <c r="L131" i="3"/>
  <c r="L124" i="3" s="1"/>
  <c r="M131" i="3"/>
  <c r="M133" i="3" s="1"/>
  <c r="N131" i="3"/>
  <c r="N199" i="3" s="1"/>
  <c r="N201" i="3" s="1"/>
  <c r="O131" i="3"/>
  <c r="O199" i="3" s="1"/>
  <c r="O201" i="3" s="1"/>
  <c r="P131" i="3"/>
  <c r="Q131" i="3"/>
  <c r="I133" i="3"/>
  <c r="P133" i="3"/>
  <c r="Q133" i="3"/>
  <c r="F141" i="3"/>
  <c r="G141" i="3"/>
  <c r="H141" i="3"/>
  <c r="I141" i="3"/>
  <c r="J141" i="3"/>
  <c r="K141" i="3"/>
  <c r="L141" i="3"/>
  <c r="M141" i="3"/>
  <c r="N141" i="3"/>
  <c r="O141" i="3"/>
  <c r="P141" i="3"/>
  <c r="Q141" i="3"/>
  <c r="H143" i="3"/>
  <c r="I143" i="3"/>
  <c r="K143" i="3"/>
  <c r="L143" i="3"/>
  <c r="O143" i="3"/>
  <c r="P143" i="3"/>
  <c r="Q143" i="3"/>
  <c r="F151" i="3"/>
  <c r="G151" i="3"/>
  <c r="H151" i="3"/>
  <c r="I151" i="3"/>
  <c r="J151" i="3"/>
  <c r="J166" i="3" s="1"/>
  <c r="K151" i="3"/>
  <c r="K196" i="3" s="1"/>
  <c r="L151" i="3"/>
  <c r="L196" i="3" s="1"/>
  <c r="L211" i="3" s="1"/>
  <c r="M151" i="3"/>
  <c r="M196" i="3" s="1"/>
  <c r="M211" i="3" s="1"/>
  <c r="N151" i="3"/>
  <c r="O151" i="3"/>
  <c r="P151" i="3"/>
  <c r="P166" i="3" s="1"/>
  <c r="Q151" i="3"/>
  <c r="G154" i="3"/>
  <c r="H154" i="3"/>
  <c r="H199" i="3" s="1"/>
  <c r="H201" i="3" s="1"/>
  <c r="I154" i="3"/>
  <c r="I156" i="3" s="1"/>
  <c r="J154" i="3"/>
  <c r="K154" i="3"/>
  <c r="K156" i="3" s="1"/>
  <c r="L154" i="3"/>
  <c r="M154" i="3"/>
  <c r="N154" i="3"/>
  <c r="O154" i="3"/>
  <c r="P154" i="3"/>
  <c r="P156" i="3" s="1"/>
  <c r="Q154" i="3"/>
  <c r="Q156" i="3" s="1"/>
  <c r="G156" i="3"/>
  <c r="J156" i="3"/>
  <c r="O156" i="3"/>
  <c r="F164" i="3"/>
  <c r="G164" i="3"/>
  <c r="H164" i="3"/>
  <c r="I164" i="3"/>
  <c r="J164" i="3"/>
  <c r="K164" i="3"/>
  <c r="L164" i="3"/>
  <c r="M164" i="3"/>
  <c r="N164" i="3"/>
  <c r="O164" i="3"/>
  <c r="P164" i="3"/>
  <c r="Q164" i="3"/>
  <c r="F166" i="3"/>
  <c r="G166" i="3"/>
  <c r="H166" i="3"/>
  <c r="I166" i="3"/>
  <c r="N166" i="3"/>
  <c r="O166" i="3"/>
  <c r="Q166" i="3"/>
  <c r="F173" i="3"/>
  <c r="F188" i="3" s="1"/>
  <c r="G173" i="3"/>
  <c r="H173" i="3"/>
  <c r="H188" i="3" s="1"/>
  <c r="I173" i="3"/>
  <c r="I188" i="3" s="1"/>
  <c r="J173" i="3"/>
  <c r="J188" i="3" s="1"/>
  <c r="K173" i="3"/>
  <c r="L173" i="3"/>
  <c r="M173" i="3"/>
  <c r="N173" i="3"/>
  <c r="N188" i="3" s="1"/>
  <c r="O173" i="3"/>
  <c r="P173" i="3"/>
  <c r="P188" i="3" s="1"/>
  <c r="Q173" i="3"/>
  <c r="Q188" i="3" s="1"/>
  <c r="F176" i="3"/>
  <c r="F199" i="3" s="1"/>
  <c r="G176" i="3"/>
  <c r="G178" i="3" s="1"/>
  <c r="H176" i="3"/>
  <c r="H178" i="3" s="1"/>
  <c r="I176" i="3"/>
  <c r="I178" i="3" s="1"/>
  <c r="J176" i="3"/>
  <c r="K176" i="3"/>
  <c r="L176" i="3"/>
  <c r="M176" i="3"/>
  <c r="M178" i="3" s="1"/>
  <c r="N176" i="3"/>
  <c r="N178" i="3" s="1"/>
  <c r="O176" i="3"/>
  <c r="P176" i="3"/>
  <c r="P178" i="3" s="1"/>
  <c r="Q176" i="3"/>
  <c r="L178" i="3"/>
  <c r="O178" i="3"/>
  <c r="Q178" i="3"/>
  <c r="F186" i="3"/>
  <c r="G186" i="3"/>
  <c r="H186" i="3"/>
  <c r="I186" i="3"/>
  <c r="J186" i="3"/>
  <c r="K186" i="3"/>
  <c r="L186" i="3"/>
  <c r="M186" i="3"/>
  <c r="N186" i="3"/>
  <c r="O186" i="3"/>
  <c r="P186" i="3"/>
  <c r="Q186" i="3"/>
  <c r="G188" i="3"/>
  <c r="K188" i="3"/>
  <c r="L188" i="3"/>
  <c r="M188" i="3"/>
  <c r="O188" i="3"/>
  <c r="H192" i="3"/>
  <c r="I192" i="3"/>
  <c r="O192" i="3"/>
  <c r="P192" i="3"/>
  <c r="F193" i="3"/>
  <c r="F195" i="3"/>
  <c r="G195" i="3"/>
  <c r="H195" i="3"/>
  <c r="I195" i="3"/>
  <c r="J195" i="3"/>
  <c r="K195" i="3"/>
  <c r="L195" i="3"/>
  <c r="M195" i="3"/>
  <c r="N195" i="3"/>
  <c r="O195" i="3"/>
  <c r="P195" i="3"/>
  <c r="Q195" i="3"/>
  <c r="F196" i="3"/>
  <c r="F211" i="3" s="1"/>
  <c r="G196" i="3"/>
  <c r="G211" i="3" s="1"/>
  <c r="J196" i="3"/>
  <c r="N196" i="3"/>
  <c r="N211" i="3" s="1"/>
  <c r="F197" i="3"/>
  <c r="G197" i="3"/>
  <c r="H197" i="3"/>
  <c r="H193" i="3" s="1"/>
  <c r="I197" i="3"/>
  <c r="I193" i="3" s="1"/>
  <c r="J197" i="3"/>
  <c r="K192" i="3" s="1"/>
  <c r="K197" i="3"/>
  <c r="L192" i="3" s="1"/>
  <c r="L193" i="3" s="1"/>
  <c r="L197" i="3"/>
  <c r="M192" i="3" s="1"/>
  <c r="M193" i="3" s="1"/>
  <c r="M197" i="3"/>
  <c r="N197" i="3"/>
  <c r="O197" i="3"/>
  <c r="O193" i="3" s="1"/>
  <c r="P197" i="3"/>
  <c r="P193" i="3" s="1"/>
  <c r="Q197" i="3"/>
  <c r="F198" i="3"/>
  <c r="G198" i="3"/>
  <c r="H198" i="3"/>
  <c r="I198" i="3"/>
  <c r="J198" i="3"/>
  <c r="K198" i="3"/>
  <c r="L198" i="3"/>
  <c r="M198" i="3"/>
  <c r="N198" i="3"/>
  <c r="O198" i="3"/>
  <c r="P198" i="3"/>
  <c r="Q198" i="3"/>
  <c r="I199" i="3"/>
  <c r="J199" i="3"/>
  <c r="F200" i="3"/>
  <c r="G200" i="3"/>
  <c r="G192" i="3" s="1"/>
  <c r="G193" i="3" s="1"/>
  <c r="H200" i="3"/>
  <c r="I200" i="3"/>
  <c r="J200" i="3"/>
  <c r="K200" i="3"/>
  <c r="L200" i="3"/>
  <c r="M200" i="3"/>
  <c r="N200" i="3"/>
  <c r="N192" i="3" s="1"/>
  <c r="N193" i="3" s="1"/>
  <c r="O200" i="3"/>
  <c r="P200" i="3"/>
  <c r="Q200" i="3"/>
  <c r="F202" i="3"/>
  <c r="G202" i="3"/>
  <c r="H202" i="3"/>
  <c r="I202" i="3"/>
  <c r="J202" i="3"/>
  <c r="K202" i="3"/>
  <c r="L202" i="3"/>
  <c r="M202" i="3"/>
  <c r="N202" i="3"/>
  <c r="O202" i="3"/>
  <c r="P202" i="3"/>
  <c r="Q202" i="3"/>
  <c r="F203" i="3"/>
  <c r="G203" i="3"/>
  <c r="H203" i="3"/>
  <c r="I203" i="3"/>
  <c r="J203" i="3"/>
  <c r="K203" i="3"/>
  <c r="L203" i="3"/>
  <c r="M203" i="3"/>
  <c r="N203" i="3"/>
  <c r="O203" i="3"/>
  <c r="P203" i="3"/>
  <c r="Q203" i="3"/>
  <c r="F204" i="3"/>
  <c r="G204" i="3"/>
  <c r="H204" i="3"/>
  <c r="I204" i="3"/>
  <c r="J204" i="3"/>
  <c r="K204" i="3"/>
  <c r="L204" i="3"/>
  <c r="M204" i="3"/>
  <c r="N204" i="3"/>
  <c r="O204" i="3"/>
  <c r="P204" i="3"/>
  <c r="Q204" i="3"/>
  <c r="F205" i="3"/>
  <c r="G205" i="3"/>
  <c r="H205" i="3"/>
  <c r="I205" i="3"/>
  <c r="J205" i="3"/>
  <c r="K205" i="3"/>
  <c r="L205" i="3"/>
  <c r="M205" i="3"/>
  <c r="N205" i="3"/>
  <c r="O205" i="3"/>
  <c r="P205" i="3"/>
  <c r="Q205" i="3"/>
  <c r="F206" i="3"/>
  <c r="G206" i="3"/>
  <c r="H206" i="3"/>
  <c r="I206" i="3"/>
  <c r="J206" i="3"/>
  <c r="K206" i="3"/>
  <c r="L206" i="3"/>
  <c r="M206" i="3"/>
  <c r="N206" i="3"/>
  <c r="O206" i="3"/>
  <c r="P206" i="3"/>
  <c r="Q206" i="3"/>
  <c r="F207" i="3"/>
  <c r="G207" i="3"/>
  <c r="H207" i="3"/>
  <c r="I207" i="3"/>
  <c r="I209" i="3" s="1"/>
  <c r="J207" i="3"/>
  <c r="J211" i="3" s="1"/>
  <c r="K207" i="3"/>
  <c r="K211" i="3" s="1"/>
  <c r="L207" i="3"/>
  <c r="M207" i="3"/>
  <c r="N207" i="3"/>
  <c r="O207" i="3"/>
  <c r="P207" i="3"/>
  <c r="Q207" i="3"/>
  <c r="F208" i="3"/>
  <c r="F209" i="3" s="1"/>
  <c r="G208" i="3"/>
  <c r="G209" i="3" s="1"/>
  <c r="H208" i="3"/>
  <c r="H209" i="3" s="1"/>
  <c r="I208" i="3"/>
  <c r="J208" i="3"/>
  <c r="K208" i="3"/>
  <c r="L208" i="3"/>
  <c r="M208" i="3"/>
  <c r="M209" i="3" s="1"/>
  <c r="N208" i="3"/>
  <c r="N209" i="3" s="1"/>
  <c r="O208" i="3"/>
  <c r="O209" i="3" s="1"/>
  <c r="P208" i="3"/>
  <c r="P209" i="3" s="1"/>
  <c r="Q208" i="3"/>
  <c r="Q209" i="3" s="1"/>
  <c r="L209" i="3"/>
  <c r="F210" i="3"/>
  <c r="G210" i="3"/>
  <c r="H210" i="3"/>
  <c r="I210" i="3"/>
  <c r="J210" i="3"/>
  <c r="K210" i="3"/>
  <c r="L210" i="3"/>
  <c r="M210" i="3"/>
  <c r="N210" i="3"/>
  <c r="O210" i="3"/>
  <c r="P210" i="3"/>
  <c r="Q210" i="3"/>
  <c r="F212" i="3"/>
  <c r="G212" i="3"/>
  <c r="H212" i="3"/>
  <c r="I212" i="3"/>
  <c r="J212" i="3"/>
  <c r="K212" i="3"/>
  <c r="L212" i="3"/>
  <c r="M212" i="3"/>
  <c r="N212" i="3"/>
  <c r="O212" i="3"/>
  <c r="P212" i="3"/>
  <c r="Q212" i="3"/>
  <c r="F213" i="3"/>
  <c r="G213" i="3"/>
  <c r="H213" i="3"/>
  <c r="I213" i="3"/>
  <c r="J213" i="3"/>
  <c r="K213" i="3"/>
  <c r="L213" i="3"/>
  <c r="M213" i="3"/>
  <c r="N213" i="3"/>
  <c r="O213" i="3"/>
  <c r="P213" i="3"/>
  <c r="Q213" i="3"/>
  <c r="F220" i="3"/>
  <c r="F235" i="3" s="1"/>
  <c r="G220" i="3"/>
  <c r="H225" i="3" s="1"/>
  <c r="H220" i="3"/>
  <c r="I220" i="3"/>
  <c r="J220" i="3"/>
  <c r="K220" i="3"/>
  <c r="L220" i="3"/>
  <c r="M220" i="3"/>
  <c r="M235" i="3" s="1"/>
  <c r="N220" i="3"/>
  <c r="N235" i="3" s="1"/>
  <c r="O220" i="3"/>
  <c r="O235" i="3" s="1"/>
  <c r="P220" i="3"/>
  <c r="Q225" i="3" s="1"/>
  <c r="Q220" i="3"/>
  <c r="F223" i="3"/>
  <c r="G223" i="3"/>
  <c r="H223" i="3"/>
  <c r="I223" i="3"/>
  <c r="J223" i="3"/>
  <c r="J225" i="3" s="1"/>
  <c r="K223" i="3"/>
  <c r="K225" i="3" s="1"/>
  <c r="L223" i="3"/>
  <c r="L225" i="3" s="1"/>
  <c r="M223" i="3"/>
  <c r="M225" i="3" s="1"/>
  <c r="N223" i="3"/>
  <c r="O223" i="3"/>
  <c r="P223" i="3"/>
  <c r="Q223" i="3"/>
  <c r="I225" i="3"/>
  <c r="N225" i="3"/>
  <c r="O225" i="3"/>
  <c r="P225" i="3"/>
  <c r="F233" i="3"/>
  <c r="G233" i="3"/>
  <c r="H233" i="3"/>
  <c r="I233" i="3"/>
  <c r="J233" i="3"/>
  <c r="K233" i="3"/>
  <c r="L233" i="3"/>
  <c r="M233" i="3"/>
  <c r="N233" i="3"/>
  <c r="O233" i="3"/>
  <c r="P233" i="3"/>
  <c r="Q233" i="3"/>
  <c r="H235" i="3"/>
  <c r="I235" i="3"/>
  <c r="J235" i="3"/>
  <c r="K235" i="3"/>
  <c r="L235" i="3"/>
  <c r="Q235" i="3"/>
  <c r="I11" i="2"/>
  <c r="K11" i="2"/>
  <c r="F13" i="2"/>
  <c r="G11" i="2" s="1"/>
  <c r="G13" i="2"/>
  <c r="H13" i="2"/>
  <c r="H12" i="2" s="1"/>
  <c r="I13" i="2"/>
  <c r="I12" i="2" s="1"/>
  <c r="J13" i="2"/>
  <c r="K13" i="2"/>
  <c r="L18" i="2" s="1"/>
  <c r="L13" i="2"/>
  <c r="M11" i="2" s="1"/>
  <c r="M12" i="2" s="1"/>
  <c r="M13" i="2"/>
  <c r="N11" i="2" s="1"/>
  <c r="N12" i="2" s="1"/>
  <c r="N13" i="2"/>
  <c r="O11" i="2" s="1"/>
  <c r="O12" i="2" s="1"/>
  <c r="O13" i="2"/>
  <c r="P11" i="2" s="1"/>
  <c r="P13" i="2"/>
  <c r="P12" i="2" s="1"/>
  <c r="Q13" i="2"/>
  <c r="Q29" i="2" s="1"/>
  <c r="F16" i="2"/>
  <c r="G16" i="2"/>
  <c r="G18" i="2" s="1"/>
  <c r="H16" i="2"/>
  <c r="H11" i="2" s="1"/>
  <c r="I16" i="2"/>
  <c r="J16" i="2"/>
  <c r="J11" i="2" s="1"/>
  <c r="K16" i="2"/>
  <c r="L16" i="2"/>
  <c r="M16" i="2"/>
  <c r="N16" i="2"/>
  <c r="O16" i="2"/>
  <c r="O18" i="2" s="1"/>
  <c r="P16" i="2"/>
  <c r="P18" i="2" s="1"/>
  <c r="Q16" i="2"/>
  <c r="Q18" i="2" s="1"/>
  <c r="I18" i="2"/>
  <c r="J18" i="2"/>
  <c r="K18" i="2"/>
  <c r="M18" i="2"/>
  <c r="N18" i="2"/>
  <c r="F27" i="2"/>
  <c r="G27" i="2"/>
  <c r="H27" i="2"/>
  <c r="I27" i="2"/>
  <c r="J27" i="2"/>
  <c r="K27" i="2"/>
  <c r="L27" i="2"/>
  <c r="M27" i="2"/>
  <c r="N27" i="2"/>
  <c r="O27" i="2"/>
  <c r="P27" i="2"/>
  <c r="Q27" i="2"/>
  <c r="G29" i="2"/>
  <c r="H29" i="2"/>
  <c r="I29" i="2"/>
  <c r="J29" i="2"/>
  <c r="L29" i="2"/>
  <c r="M29" i="2"/>
  <c r="N29" i="2"/>
  <c r="O29" i="2"/>
  <c r="G33" i="2"/>
  <c r="G34" i="2" s="1"/>
  <c r="H33" i="2"/>
  <c r="H34" i="2" s="1"/>
  <c r="I33" i="2"/>
  <c r="I34" i="2" s="1"/>
  <c r="K33" i="2"/>
  <c r="F34" i="2"/>
  <c r="F36" i="2"/>
  <c r="F52" i="2" s="1"/>
  <c r="G36" i="2"/>
  <c r="H36" i="2"/>
  <c r="I36" i="2"/>
  <c r="J36" i="2"/>
  <c r="J34" i="2" s="1"/>
  <c r="K36" i="2"/>
  <c r="L41" i="2" s="1"/>
  <c r="L36" i="2"/>
  <c r="M33" i="2" s="1"/>
  <c r="M34" i="2" s="1"/>
  <c r="M36" i="2"/>
  <c r="N33" i="2" s="1"/>
  <c r="N34" i="2" s="1"/>
  <c r="N36" i="2"/>
  <c r="O33" i="2" s="1"/>
  <c r="O34" i="2" s="1"/>
  <c r="O36" i="2"/>
  <c r="P33" i="2" s="1"/>
  <c r="P36" i="2"/>
  <c r="P34" i="2" s="1"/>
  <c r="Q36" i="2"/>
  <c r="Q52" i="2" s="1"/>
  <c r="F39" i="2"/>
  <c r="G39" i="2"/>
  <c r="G41" i="2" s="1"/>
  <c r="H39" i="2"/>
  <c r="H41" i="2" s="1"/>
  <c r="I39" i="2"/>
  <c r="J39" i="2"/>
  <c r="J33" i="2" s="1"/>
  <c r="K39" i="2"/>
  <c r="L39" i="2"/>
  <c r="M39" i="2"/>
  <c r="N39" i="2"/>
  <c r="O39" i="2"/>
  <c r="O41" i="2" s="1"/>
  <c r="P39" i="2"/>
  <c r="P41" i="2" s="1"/>
  <c r="Q39" i="2"/>
  <c r="Q41" i="2" s="1"/>
  <c r="I41" i="2"/>
  <c r="J41" i="2"/>
  <c r="K41" i="2"/>
  <c r="M41" i="2"/>
  <c r="N41" i="2"/>
  <c r="F50" i="2"/>
  <c r="G50" i="2"/>
  <c r="H50" i="2"/>
  <c r="I50" i="2"/>
  <c r="J50" i="2"/>
  <c r="K50" i="2"/>
  <c r="L50" i="2"/>
  <c r="M50" i="2"/>
  <c r="N50" i="2"/>
  <c r="O50" i="2"/>
  <c r="P50" i="2"/>
  <c r="Q50" i="2"/>
  <c r="G52" i="2"/>
  <c r="H52" i="2"/>
  <c r="I52" i="2"/>
  <c r="J52" i="2"/>
  <c r="L52" i="2"/>
  <c r="M52" i="2"/>
  <c r="N52" i="2"/>
  <c r="O52" i="2"/>
  <c r="G56" i="2"/>
  <c r="G57" i="2" s="1"/>
  <c r="H56" i="2"/>
  <c r="H57" i="2" s="1"/>
  <c r="I56" i="2"/>
  <c r="I57" i="2" s="1"/>
  <c r="K56" i="2"/>
  <c r="F57" i="2"/>
  <c r="F59" i="2"/>
  <c r="G59" i="2"/>
  <c r="H59" i="2"/>
  <c r="I59" i="2"/>
  <c r="J59" i="2"/>
  <c r="K59" i="2"/>
  <c r="L56" i="2" s="1"/>
  <c r="L57" i="2" s="1"/>
  <c r="L59" i="2"/>
  <c r="M56" i="2" s="1"/>
  <c r="M57" i="2" s="1"/>
  <c r="M59" i="2"/>
  <c r="N56" i="2" s="1"/>
  <c r="N57" i="2" s="1"/>
  <c r="N59" i="2"/>
  <c r="O56" i="2" s="1"/>
  <c r="O57" i="2" s="1"/>
  <c r="O59" i="2"/>
  <c r="P56" i="2" s="1"/>
  <c r="P59" i="2"/>
  <c r="Q59" i="2"/>
  <c r="Q75" i="2" s="1"/>
  <c r="F62" i="2"/>
  <c r="G62" i="2"/>
  <c r="G64" i="2" s="1"/>
  <c r="H62" i="2"/>
  <c r="H64" i="2" s="1"/>
  <c r="I62" i="2"/>
  <c r="I64" i="2" s="1"/>
  <c r="J62" i="2"/>
  <c r="J56" i="2" s="1"/>
  <c r="J57" i="2" s="1"/>
  <c r="K62" i="2"/>
  <c r="L62" i="2"/>
  <c r="N62" i="2"/>
  <c r="O62" i="2"/>
  <c r="P62" i="2"/>
  <c r="P64" i="2" s="1"/>
  <c r="Q62" i="2"/>
  <c r="Q64" i="2" s="1"/>
  <c r="K64" i="2"/>
  <c r="L64" i="2"/>
  <c r="M64" i="2"/>
  <c r="N64" i="2"/>
  <c r="O64" i="2"/>
  <c r="F73" i="2"/>
  <c r="G73" i="2"/>
  <c r="H73" i="2"/>
  <c r="I73" i="2"/>
  <c r="J73" i="2"/>
  <c r="K73" i="2"/>
  <c r="L73" i="2"/>
  <c r="M73" i="2"/>
  <c r="N73" i="2"/>
  <c r="O73" i="2"/>
  <c r="P73" i="2"/>
  <c r="Q73" i="2"/>
  <c r="F75" i="2"/>
  <c r="G75" i="2"/>
  <c r="H75" i="2"/>
  <c r="I75" i="2"/>
  <c r="J75" i="2"/>
  <c r="M75" i="2"/>
  <c r="N75" i="2"/>
  <c r="O75" i="2"/>
  <c r="H79" i="2"/>
  <c r="H80" i="2" s="1"/>
  <c r="I79" i="2"/>
  <c r="J79" i="2"/>
  <c r="J80" i="2" s="1"/>
  <c r="F82" i="2"/>
  <c r="F80" i="2" s="1"/>
  <c r="G82" i="2"/>
  <c r="G113" i="2" s="1"/>
  <c r="H82" i="2"/>
  <c r="I82" i="2"/>
  <c r="I80" i="2" s="1"/>
  <c r="J82" i="2"/>
  <c r="K82" i="2"/>
  <c r="L82" i="2"/>
  <c r="M87" i="2" s="1"/>
  <c r="M82" i="2"/>
  <c r="N79" i="2" s="1"/>
  <c r="N80" i="2" s="1"/>
  <c r="N82" i="2"/>
  <c r="O79" i="2" s="1"/>
  <c r="O80" i="2" s="1"/>
  <c r="O82" i="2"/>
  <c r="P79" i="2" s="1"/>
  <c r="P80" i="2" s="1"/>
  <c r="P82" i="2"/>
  <c r="Q82" i="2"/>
  <c r="Q113" i="2" s="1"/>
  <c r="F85" i="2"/>
  <c r="G85" i="2"/>
  <c r="G87" i="2" s="1"/>
  <c r="H85" i="2"/>
  <c r="H87" i="2" s="1"/>
  <c r="I85" i="2"/>
  <c r="I87" i="2" s="1"/>
  <c r="J85" i="2"/>
  <c r="K85" i="2"/>
  <c r="K79" i="2" s="1"/>
  <c r="K80" i="2" s="1"/>
  <c r="L85" i="2"/>
  <c r="L79" i="2" s="1"/>
  <c r="M85" i="2"/>
  <c r="N85" i="2"/>
  <c r="O85" i="2"/>
  <c r="P85" i="2"/>
  <c r="P87" i="2" s="1"/>
  <c r="Q85" i="2"/>
  <c r="J87" i="2"/>
  <c r="K87" i="2"/>
  <c r="L87" i="2"/>
  <c r="N87" i="2"/>
  <c r="O87" i="2"/>
  <c r="Q87" i="2"/>
  <c r="F111" i="2"/>
  <c r="G111" i="2"/>
  <c r="H111" i="2"/>
  <c r="I111" i="2"/>
  <c r="J111" i="2"/>
  <c r="K111" i="2"/>
  <c r="L111" i="2"/>
  <c r="M111" i="2"/>
  <c r="N111" i="2"/>
  <c r="O111" i="2"/>
  <c r="P111" i="2"/>
  <c r="Q111" i="2"/>
  <c r="F113" i="2"/>
  <c r="H113" i="2"/>
  <c r="I113" i="2"/>
  <c r="J113" i="2"/>
  <c r="K113" i="2"/>
  <c r="M113" i="2"/>
  <c r="N113" i="2"/>
  <c r="P113" i="2"/>
  <c r="H117" i="2"/>
  <c r="I117" i="2"/>
  <c r="J117" i="2"/>
  <c r="K117" i="2"/>
  <c r="N117" i="2"/>
  <c r="O117" i="2"/>
  <c r="N118" i="2"/>
  <c r="O118" i="2"/>
  <c r="F120" i="2"/>
  <c r="F118" i="2" s="1"/>
  <c r="G120" i="2"/>
  <c r="H120" i="2"/>
  <c r="H234" i="2" s="1"/>
  <c r="I120" i="2"/>
  <c r="I234" i="2" s="1"/>
  <c r="J120" i="2"/>
  <c r="J118" i="2" s="1"/>
  <c r="K120" i="2"/>
  <c r="K118" i="2" s="1"/>
  <c r="L120" i="2"/>
  <c r="M117" i="2" s="1"/>
  <c r="M118" i="2" s="1"/>
  <c r="M120" i="2"/>
  <c r="N120" i="2"/>
  <c r="O120" i="2"/>
  <c r="P120" i="2"/>
  <c r="Q120" i="2"/>
  <c r="F123" i="2"/>
  <c r="F125" i="2" s="1"/>
  <c r="G123" i="2"/>
  <c r="G125" i="2" s="1"/>
  <c r="H123" i="2"/>
  <c r="H125" i="2" s="1"/>
  <c r="I123" i="2"/>
  <c r="I125" i="2" s="1"/>
  <c r="J123" i="2"/>
  <c r="K123" i="2"/>
  <c r="L123" i="2"/>
  <c r="L125" i="2" s="1"/>
  <c r="M123" i="2"/>
  <c r="N123" i="2"/>
  <c r="O123" i="2"/>
  <c r="P123" i="2"/>
  <c r="P125" i="2" s="1"/>
  <c r="Q123" i="2"/>
  <c r="J125" i="2"/>
  <c r="K125" i="2"/>
  <c r="M125" i="2"/>
  <c r="N125" i="2"/>
  <c r="O125" i="2"/>
  <c r="Q125" i="2"/>
  <c r="F149" i="2"/>
  <c r="G149" i="2"/>
  <c r="H149" i="2"/>
  <c r="I149" i="2"/>
  <c r="J149" i="2"/>
  <c r="K149" i="2"/>
  <c r="L149" i="2"/>
  <c r="M149" i="2"/>
  <c r="N149" i="2"/>
  <c r="O149" i="2"/>
  <c r="P149" i="2"/>
  <c r="Q149" i="2"/>
  <c r="F151" i="2"/>
  <c r="G151" i="2"/>
  <c r="H151" i="2"/>
  <c r="I151" i="2"/>
  <c r="J151" i="2"/>
  <c r="K151" i="2"/>
  <c r="L151" i="2"/>
  <c r="M151" i="2"/>
  <c r="N151" i="2"/>
  <c r="O151" i="2"/>
  <c r="P151" i="2"/>
  <c r="Q151" i="2"/>
  <c r="H158" i="2"/>
  <c r="I155" i="2" s="1"/>
  <c r="I158" i="2"/>
  <c r="J155" i="2" s="1"/>
  <c r="J158" i="2"/>
  <c r="K155" i="2" s="1"/>
  <c r="K158" i="2"/>
  <c r="L155" i="2" s="1"/>
  <c r="L158" i="2"/>
  <c r="M155" i="2" s="1"/>
  <c r="M158" i="2"/>
  <c r="N155" i="2" s="1"/>
  <c r="N158" i="2"/>
  <c r="O155" i="2" s="1"/>
  <c r="O158" i="2"/>
  <c r="P155" i="2" s="1"/>
  <c r="P156" i="2" s="1"/>
  <c r="P158" i="2"/>
  <c r="Q158" i="2"/>
  <c r="H161" i="2"/>
  <c r="H163" i="2" s="1"/>
  <c r="I161" i="2"/>
  <c r="J161" i="2"/>
  <c r="K161" i="2"/>
  <c r="K163" i="2" s="1"/>
  <c r="L161" i="2"/>
  <c r="M161" i="2"/>
  <c r="M163" i="2" s="1"/>
  <c r="N161" i="2"/>
  <c r="N163" i="2" s="1"/>
  <c r="O161" i="2"/>
  <c r="O163" i="2" s="1"/>
  <c r="P161" i="2"/>
  <c r="P163" i="2" s="1"/>
  <c r="Q161" i="2"/>
  <c r="Q163" i="2" s="1"/>
  <c r="F187" i="2"/>
  <c r="G187" i="2"/>
  <c r="H187" i="2"/>
  <c r="I187" i="2"/>
  <c r="J187" i="2"/>
  <c r="K187" i="2"/>
  <c r="L187" i="2"/>
  <c r="M187" i="2"/>
  <c r="N187" i="2"/>
  <c r="O187" i="2"/>
  <c r="P187" i="2"/>
  <c r="Q187" i="2"/>
  <c r="N189" i="2"/>
  <c r="O189" i="2"/>
  <c r="P189" i="2"/>
  <c r="Q189" i="2"/>
  <c r="N195" i="2"/>
  <c r="O195" i="2"/>
  <c r="O226" i="2" s="1"/>
  <c r="P195" i="2"/>
  <c r="P226" i="2" s="1"/>
  <c r="Q195" i="2"/>
  <c r="N198" i="2"/>
  <c r="O198" i="2"/>
  <c r="P198" i="2"/>
  <c r="P200" i="2" s="1"/>
  <c r="Q198" i="2"/>
  <c r="N200" i="2"/>
  <c r="O200" i="2"/>
  <c r="F224" i="2"/>
  <c r="G224" i="2"/>
  <c r="H224" i="2"/>
  <c r="I224" i="2"/>
  <c r="J224" i="2"/>
  <c r="K224" i="2"/>
  <c r="L224" i="2"/>
  <c r="M224" i="2"/>
  <c r="N224" i="2"/>
  <c r="O224" i="2"/>
  <c r="P224" i="2"/>
  <c r="Q224" i="2"/>
  <c r="N226" i="2"/>
  <c r="Q226" i="2"/>
  <c r="F231" i="2"/>
  <c r="F234" i="2"/>
  <c r="G234" i="2"/>
  <c r="G231" i="2" s="1"/>
  <c r="K234" i="2"/>
  <c r="L230" i="2" s="1"/>
  <c r="N234" i="2"/>
  <c r="Q234" i="2"/>
  <c r="F235" i="2"/>
  <c r="G235" i="2"/>
  <c r="H235" i="2"/>
  <c r="I235" i="2"/>
  <c r="J235" i="2"/>
  <c r="K235" i="2"/>
  <c r="L235" i="2"/>
  <c r="M235" i="2"/>
  <c r="N235" i="2"/>
  <c r="O235" i="2"/>
  <c r="P235" i="2"/>
  <c r="Q235" i="2"/>
  <c r="F236" i="2"/>
  <c r="G236" i="2"/>
  <c r="H236" i="2"/>
  <c r="I236" i="2"/>
  <c r="J236" i="2"/>
  <c r="K236" i="2"/>
  <c r="L236" i="2"/>
  <c r="M236" i="2"/>
  <c r="N236" i="2"/>
  <c r="O236" i="2"/>
  <c r="P236" i="2"/>
  <c r="Q236" i="2"/>
  <c r="F237" i="2"/>
  <c r="G237" i="2"/>
  <c r="G230" i="2" s="1"/>
  <c r="H237" i="2"/>
  <c r="H230" i="2" s="1"/>
  <c r="I237" i="2"/>
  <c r="J237" i="2"/>
  <c r="K237" i="2"/>
  <c r="L237" i="2"/>
  <c r="M237" i="2"/>
  <c r="N237" i="2"/>
  <c r="O237" i="2"/>
  <c r="O275" i="2" s="1"/>
  <c r="P237" i="2"/>
  <c r="Q237" i="2"/>
  <c r="F238" i="2"/>
  <c r="G238" i="2"/>
  <c r="H238" i="2"/>
  <c r="I238" i="2"/>
  <c r="J238" i="2"/>
  <c r="K238" i="2"/>
  <c r="L238" i="2"/>
  <c r="M238" i="2"/>
  <c r="N238" i="2"/>
  <c r="O238" i="2"/>
  <c r="P238" i="2"/>
  <c r="Q238" i="2"/>
  <c r="H239" i="2"/>
  <c r="L239" i="2"/>
  <c r="O239" i="2"/>
  <c r="F240" i="2"/>
  <c r="G240" i="2"/>
  <c r="H240" i="2"/>
  <c r="I240" i="2"/>
  <c r="J240" i="2"/>
  <c r="K240" i="2"/>
  <c r="L240" i="2"/>
  <c r="O240" i="2"/>
  <c r="P240" i="2"/>
  <c r="Q240" i="2"/>
  <c r="F241" i="2"/>
  <c r="G241" i="2"/>
  <c r="H241" i="2"/>
  <c r="I241" i="2"/>
  <c r="J241" i="2"/>
  <c r="K241" i="2"/>
  <c r="L241" i="2"/>
  <c r="O241" i="2"/>
  <c r="P241" i="2"/>
  <c r="Q241" i="2"/>
  <c r="F242" i="2"/>
  <c r="G242" i="2"/>
  <c r="H242" i="2"/>
  <c r="I242" i="2"/>
  <c r="J242" i="2"/>
  <c r="K242" i="2"/>
  <c r="L242" i="2"/>
  <c r="O242" i="2"/>
  <c r="P242" i="2"/>
  <c r="Q242" i="2"/>
  <c r="F244" i="2"/>
  <c r="G244" i="2"/>
  <c r="G248" i="2" s="1"/>
  <c r="H244" i="2"/>
  <c r="I244" i="2"/>
  <c r="J244" i="2"/>
  <c r="L244" i="2"/>
  <c r="O244" i="2"/>
  <c r="P244" i="2"/>
  <c r="Q244" i="2"/>
  <c r="F245" i="2"/>
  <c r="G245" i="2"/>
  <c r="G246" i="2" s="1"/>
  <c r="H245" i="2"/>
  <c r="H246" i="2" s="1"/>
  <c r="I245" i="2"/>
  <c r="I246" i="2" s="1"/>
  <c r="J245" i="2"/>
  <c r="J246" i="2" s="1"/>
  <c r="L245" i="2"/>
  <c r="L246" i="2" s="1"/>
  <c r="O245" i="2"/>
  <c r="O246" i="2" s="1"/>
  <c r="P245" i="2"/>
  <c r="Q245" i="2"/>
  <c r="F246" i="2"/>
  <c r="K246" i="2"/>
  <c r="P246" i="2"/>
  <c r="Q246" i="2"/>
  <c r="F247" i="2"/>
  <c r="G247" i="2"/>
  <c r="H247" i="2"/>
  <c r="I247" i="2"/>
  <c r="J247" i="2"/>
  <c r="K247" i="2"/>
  <c r="L247" i="2"/>
  <c r="O247" i="2"/>
  <c r="P247" i="2"/>
  <c r="Q247" i="2"/>
  <c r="F248" i="2"/>
  <c r="O248" i="2"/>
  <c r="F249" i="2"/>
  <c r="G249" i="2"/>
  <c r="H249" i="2"/>
  <c r="I249" i="2"/>
  <c r="J249" i="2"/>
  <c r="K249" i="2"/>
  <c r="L249" i="2"/>
  <c r="O249" i="2"/>
  <c r="P249" i="2"/>
  <c r="Q249" i="2"/>
  <c r="F250" i="2"/>
  <c r="G250" i="2"/>
  <c r="H250" i="2"/>
  <c r="I250" i="2"/>
  <c r="J250" i="2"/>
  <c r="K250" i="2"/>
  <c r="L250" i="2"/>
  <c r="O250" i="2"/>
  <c r="P250" i="2"/>
  <c r="Q250" i="2"/>
  <c r="F256" i="2"/>
  <c r="G256" i="2"/>
  <c r="H256" i="2"/>
  <c r="I256" i="2"/>
  <c r="J256" i="2"/>
  <c r="K256" i="2"/>
  <c r="L256" i="2"/>
  <c r="O256" i="2"/>
  <c r="P256" i="2"/>
  <c r="Q258" i="2" s="1"/>
  <c r="Q256" i="2"/>
  <c r="F257" i="2"/>
  <c r="G257" i="2"/>
  <c r="G258" i="2" s="1"/>
  <c r="H257" i="2"/>
  <c r="I257" i="2"/>
  <c r="J257" i="2"/>
  <c r="K257" i="2"/>
  <c r="L257" i="2"/>
  <c r="O257" i="2"/>
  <c r="P257" i="2"/>
  <c r="Q257" i="2"/>
  <c r="H258" i="2"/>
  <c r="I258" i="2"/>
  <c r="J258" i="2"/>
  <c r="K258" i="2"/>
  <c r="L258" i="2"/>
  <c r="O258" i="2"/>
  <c r="P258" i="2"/>
  <c r="F259" i="2"/>
  <c r="G259" i="2"/>
  <c r="H259" i="2"/>
  <c r="I259" i="2"/>
  <c r="J259" i="2"/>
  <c r="K259" i="2"/>
  <c r="L259" i="2"/>
  <c r="O259" i="2"/>
  <c r="P259" i="2"/>
  <c r="Q259" i="2"/>
  <c r="F260" i="2"/>
  <c r="G260" i="2"/>
  <c r="H260" i="2"/>
  <c r="I260" i="2"/>
  <c r="J260" i="2"/>
  <c r="K260" i="2"/>
  <c r="L260" i="2"/>
  <c r="O260" i="2"/>
  <c r="P260" i="2"/>
  <c r="Q260" i="2"/>
  <c r="F261" i="2"/>
  <c r="G261" i="2"/>
  <c r="H261" i="2"/>
  <c r="I261" i="2"/>
  <c r="J261" i="2"/>
  <c r="K261" i="2"/>
  <c r="L261" i="2"/>
  <c r="O261" i="2"/>
  <c r="P261" i="2"/>
  <c r="Q261" i="2"/>
  <c r="F262" i="2"/>
  <c r="G262" i="2"/>
  <c r="G266" i="2" s="1"/>
  <c r="H262" i="2"/>
  <c r="I262" i="2"/>
  <c r="I266" i="2" s="1"/>
  <c r="J262" i="2"/>
  <c r="K262" i="2"/>
  <c r="L262" i="2"/>
  <c r="O262" i="2"/>
  <c r="P262" i="2"/>
  <c r="Q262" i="2"/>
  <c r="F263" i="2"/>
  <c r="F264" i="2" s="1"/>
  <c r="G263" i="2"/>
  <c r="G264" i="2" s="1"/>
  <c r="H263" i="2"/>
  <c r="H264" i="2" s="1"/>
  <c r="I263" i="2"/>
  <c r="I264" i="2" s="1"/>
  <c r="J263" i="2"/>
  <c r="J264" i="2" s="1"/>
  <c r="K263" i="2"/>
  <c r="K264" i="2" s="1"/>
  <c r="L263" i="2"/>
  <c r="L264" i="2" s="1"/>
  <c r="O263" i="2"/>
  <c r="P263" i="2"/>
  <c r="Q263" i="2"/>
  <c r="O264" i="2"/>
  <c r="P264" i="2"/>
  <c r="Q264" i="2"/>
  <c r="F265" i="2"/>
  <c r="G265" i="2"/>
  <c r="H265" i="2"/>
  <c r="I265" i="2"/>
  <c r="J265" i="2"/>
  <c r="K265" i="2"/>
  <c r="L265" i="2"/>
  <c r="O265" i="2"/>
  <c r="P265" i="2"/>
  <c r="Q265" i="2"/>
  <c r="H266" i="2"/>
  <c r="J266" i="2"/>
  <c r="L266" i="2"/>
  <c r="O266" i="2"/>
  <c r="F267" i="2"/>
  <c r="G267" i="2"/>
  <c r="H267" i="2"/>
  <c r="I267" i="2"/>
  <c r="J267" i="2"/>
  <c r="K267" i="2"/>
  <c r="L267" i="2"/>
  <c r="O267" i="2"/>
  <c r="P267" i="2"/>
  <c r="Q267" i="2"/>
  <c r="F268" i="2"/>
  <c r="G268" i="2"/>
  <c r="H268" i="2"/>
  <c r="I268" i="2"/>
  <c r="J268" i="2"/>
  <c r="K268" i="2"/>
  <c r="L268" i="2"/>
  <c r="O268" i="2"/>
  <c r="P268" i="2"/>
  <c r="Q268" i="2"/>
  <c r="F273" i="2"/>
  <c r="G273" i="2"/>
  <c r="H273" i="2"/>
  <c r="I273" i="2"/>
  <c r="J273" i="2"/>
  <c r="K273" i="2"/>
  <c r="L273" i="2"/>
  <c r="O273" i="2"/>
  <c r="P273" i="2"/>
  <c r="Q273" i="2"/>
  <c r="F274" i="2"/>
  <c r="G274" i="2"/>
  <c r="H274" i="2"/>
  <c r="I274" i="2"/>
  <c r="J274" i="2"/>
  <c r="K274" i="2"/>
  <c r="L274" i="2"/>
  <c r="O274" i="2"/>
  <c r="P274" i="2"/>
  <c r="Q274" i="2"/>
  <c r="H275" i="2"/>
  <c r="L275" i="2"/>
  <c r="F276" i="2"/>
  <c r="G276" i="2"/>
  <c r="H276" i="2"/>
  <c r="I276" i="2"/>
  <c r="J276" i="2"/>
  <c r="K276" i="2"/>
  <c r="L276" i="2"/>
  <c r="M276" i="2"/>
  <c r="N276" i="2"/>
  <c r="O276" i="2"/>
  <c r="P276" i="2"/>
  <c r="Q276" i="2"/>
  <c r="F277" i="2"/>
  <c r="G277" i="2"/>
  <c r="H277" i="2"/>
  <c r="I277" i="2"/>
  <c r="J277" i="2"/>
  <c r="K277" i="2"/>
  <c r="L277" i="2"/>
  <c r="M277" i="2"/>
  <c r="N277" i="2"/>
  <c r="O277" i="2"/>
  <c r="P277" i="2"/>
  <c r="Q277" i="2"/>
  <c r="F278" i="2"/>
  <c r="G278" i="2"/>
  <c r="H278" i="2"/>
  <c r="I278" i="2"/>
  <c r="J278" i="2"/>
  <c r="K278" i="2"/>
  <c r="L278" i="2"/>
  <c r="M278" i="2"/>
  <c r="N278" i="2"/>
  <c r="O278" i="2"/>
  <c r="P278" i="2"/>
  <c r="Q278" i="2"/>
  <c r="F279" i="2"/>
  <c r="G279" i="2"/>
  <c r="H279" i="2"/>
  <c r="I279" i="2"/>
  <c r="J279" i="2"/>
  <c r="K279" i="2"/>
  <c r="L279" i="2"/>
  <c r="M279" i="2"/>
  <c r="N279" i="2"/>
  <c r="O279" i="2"/>
  <c r="P279" i="2"/>
  <c r="Q279" i="2"/>
  <c r="F280" i="2"/>
  <c r="G280" i="2"/>
  <c r="H280" i="2"/>
  <c r="I280" i="2"/>
  <c r="J280" i="2"/>
  <c r="K280" i="2"/>
  <c r="L280" i="2"/>
  <c r="M280" i="2"/>
  <c r="N280" i="2"/>
  <c r="O280" i="2"/>
  <c r="P280" i="2"/>
  <c r="Q280" i="2"/>
  <c r="F281" i="2"/>
  <c r="G281" i="2"/>
  <c r="H281" i="2"/>
  <c r="I281" i="2"/>
  <c r="J281" i="2"/>
  <c r="K281" i="2"/>
  <c r="L281" i="2"/>
  <c r="M281" i="2"/>
  <c r="N281" i="2"/>
  <c r="O281" i="2"/>
  <c r="P281" i="2"/>
  <c r="Q281" i="2"/>
  <c r="F283" i="2"/>
  <c r="F285" i="2" s="1"/>
  <c r="G283" i="2"/>
  <c r="H283" i="2"/>
  <c r="I283" i="2"/>
  <c r="J283" i="2"/>
  <c r="K283" i="2"/>
  <c r="L283" i="2"/>
  <c r="M283" i="2"/>
  <c r="N283" i="2"/>
  <c r="O283" i="2"/>
  <c r="P283" i="2"/>
  <c r="Q283" i="2"/>
  <c r="F284" i="2"/>
  <c r="G284" i="2"/>
  <c r="G285" i="2" s="1"/>
  <c r="H284" i="2"/>
  <c r="H285" i="2" s="1"/>
  <c r="I284" i="2"/>
  <c r="I285" i="2" s="1"/>
  <c r="J284" i="2"/>
  <c r="J285" i="2" s="1"/>
  <c r="K284" i="2"/>
  <c r="K285" i="2" s="1"/>
  <c r="L284" i="2"/>
  <c r="L285" i="2" s="1"/>
  <c r="M284" i="2"/>
  <c r="M285" i="2" s="1"/>
  <c r="N284" i="2"/>
  <c r="O284" i="2"/>
  <c r="P284" i="2"/>
  <c r="Q284" i="2"/>
  <c r="N285" i="2"/>
  <c r="O285" i="2"/>
  <c r="P285" i="2"/>
  <c r="Q285" i="2"/>
  <c r="F286" i="2"/>
  <c r="G286" i="2"/>
  <c r="H286" i="2"/>
  <c r="I286" i="2"/>
  <c r="J286" i="2"/>
  <c r="K286" i="2"/>
  <c r="L286" i="2"/>
  <c r="M286" i="2"/>
  <c r="N286" i="2"/>
  <c r="O286" i="2"/>
  <c r="P286" i="2"/>
  <c r="Q286" i="2"/>
  <c r="F287" i="2"/>
  <c r="G287" i="2"/>
  <c r="K287" i="2"/>
  <c r="N287" i="2"/>
  <c r="Q287" i="2"/>
  <c r="F288" i="2"/>
  <c r="G288" i="2"/>
  <c r="H288" i="2"/>
  <c r="I288" i="2"/>
  <c r="J288" i="2"/>
  <c r="K288" i="2"/>
  <c r="L288" i="2"/>
  <c r="M288" i="2"/>
  <c r="N288" i="2"/>
  <c r="O288" i="2"/>
  <c r="P288" i="2"/>
  <c r="Q288" i="2"/>
  <c r="F289" i="2"/>
  <c r="G289" i="2"/>
  <c r="H289" i="2"/>
  <c r="I289" i="2"/>
  <c r="J289" i="2"/>
  <c r="K289" i="2"/>
  <c r="L289" i="2"/>
  <c r="M289" i="2"/>
  <c r="N289" i="2"/>
  <c r="O289" i="2"/>
  <c r="P289" i="2"/>
  <c r="Q289" i="2"/>
  <c r="Q53" i="1"/>
  <c r="J56" i="1"/>
  <c r="K56" i="1"/>
  <c r="L56" i="1"/>
  <c r="L58" i="1" s="1"/>
  <c r="M56" i="1"/>
  <c r="M58" i="1" s="1"/>
  <c r="N56" i="1"/>
  <c r="N58" i="1" s="1"/>
  <c r="O56" i="1"/>
  <c r="O58" i="1" s="1"/>
  <c r="P56" i="1"/>
  <c r="P58" i="1" s="1"/>
  <c r="Q56" i="1"/>
  <c r="Q58" i="1" s="1"/>
  <c r="G58" i="1"/>
  <c r="H58" i="1"/>
  <c r="I58" i="1"/>
  <c r="J58" i="1"/>
  <c r="K58" i="1"/>
  <c r="F67" i="1"/>
  <c r="G67" i="1"/>
  <c r="H67" i="1"/>
  <c r="I67" i="1"/>
  <c r="J67" i="1"/>
  <c r="K67" i="1"/>
  <c r="L67" i="1"/>
  <c r="M67" i="1"/>
  <c r="N67" i="1"/>
  <c r="O67" i="1"/>
  <c r="P67" i="1"/>
  <c r="Q67" i="1"/>
  <c r="F69" i="1"/>
  <c r="G69" i="1"/>
  <c r="H69" i="1"/>
  <c r="I69" i="1"/>
  <c r="J69" i="1"/>
  <c r="K69" i="1"/>
  <c r="L69" i="1"/>
  <c r="M69" i="1"/>
  <c r="N69" i="1"/>
  <c r="O69" i="1"/>
  <c r="P69" i="1"/>
  <c r="Q69" i="1"/>
  <c r="F74" i="1"/>
  <c r="F87" i="1" s="1"/>
  <c r="G74" i="1"/>
  <c r="G87" i="1" s="1"/>
  <c r="H74" i="1"/>
  <c r="I74" i="1"/>
  <c r="J74" i="1"/>
  <c r="K74" i="1"/>
  <c r="L74" i="1"/>
  <c r="M74" i="1"/>
  <c r="N74" i="1"/>
  <c r="O74" i="1"/>
  <c r="P74" i="1"/>
  <c r="Q74" i="1"/>
  <c r="F77" i="1"/>
  <c r="G77" i="1"/>
  <c r="H77" i="1"/>
  <c r="I77" i="1"/>
  <c r="J77" i="1"/>
  <c r="K77" i="1"/>
  <c r="L77" i="1"/>
  <c r="M77" i="1"/>
  <c r="N77" i="1"/>
  <c r="O77" i="1"/>
  <c r="P77" i="1"/>
  <c r="Q77" i="1"/>
  <c r="F85" i="1"/>
  <c r="G85" i="1"/>
  <c r="H85" i="1"/>
  <c r="I85" i="1"/>
  <c r="J85" i="1"/>
  <c r="L85" i="1"/>
  <c r="M85" i="1"/>
  <c r="N85" i="1"/>
  <c r="O85" i="1"/>
  <c r="P85" i="1"/>
  <c r="Q85" i="1"/>
  <c r="H87" i="1"/>
  <c r="I87" i="1"/>
  <c r="J87" i="1"/>
  <c r="K87" i="1"/>
  <c r="L87" i="1"/>
  <c r="M87" i="1"/>
  <c r="N87" i="1"/>
  <c r="O87" i="1"/>
  <c r="P87" i="1"/>
  <c r="Q87" i="1"/>
  <c r="O139" i="1"/>
  <c r="P139" i="1"/>
  <c r="Q139" i="1"/>
  <c r="O141" i="1"/>
  <c r="P141" i="1"/>
  <c r="Q141" i="1"/>
  <c r="F150" i="1"/>
  <c r="G150" i="1"/>
  <c r="H150" i="1"/>
  <c r="I150" i="1"/>
  <c r="J150" i="1"/>
  <c r="K150" i="1"/>
  <c r="L150" i="1"/>
  <c r="M150" i="1"/>
  <c r="N150" i="1"/>
  <c r="O150" i="1"/>
  <c r="P150" i="1"/>
  <c r="Q150" i="1"/>
  <c r="P59" i="6" l="1"/>
  <c r="I266" i="6"/>
  <c r="H57" i="6"/>
  <c r="L234" i="6"/>
  <c r="N12" i="6"/>
  <c r="P233" i="6"/>
  <c r="P234" i="6" s="1"/>
  <c r="N34" i="6"/>
  <c r="H276" i="6"/>
  <c r="L34" i="6"/>
  <c r="O233" i="6"/>
  <c r="O234" i="6" s="1"/>
  <c r="N234" i="6"/>
  <c r="O266" i="6"/>
  <c r="J233" i="6"/>
  <c r="J234" i="6" s="1"/>
  <c r="H234" i="6"/>
  <c r="I233" i="6"/>
  <c r="I234" i="6" s="1"/>
  <c r="P57" i="6"/>
  <c r="L57" i="6"/>
  <c r="K297" i="6"/>
  <c r="Q287" i="6"/>
  <c r="J209" i="6"/>
  <c r="J210" i="6" s="1"/>
  <c r="I297" i="6"/>
  <c r="O287" i="6"/>
  <c r="M233" i="6"/>
  <c r="M234" i="6" s="1"/>
  <c r="P56" i="6"/>
  <c r="M33" i="6"/>
  <c r="L19" i="6"/>
  <c r="L33" i="6"/>
  <c r="M287" i="6"/>
  <c r="H274" i="6"/>
  <c r="P264" i="6"/>
  <c r="P266" i="6" s="1"/>
  <c r="P210" i="6"/>
  <c r="N56" i="6"/>
  <c r="N57" i="6" s="1"/>
  <c r="O42" i="6"/>
  <c r="J33" i="6"/>
  <c r="J34" i="6" s="1"/>
  <c r="G274" i="6"/>
  <c r="G193" i="6"/>
  <c r="H161" i="6"/>
  <c r="L58" i="6"/>
  <c r="L59" i="6" s="1"/>
  <c r="M56" i="6"/>
  <c r="M57" i="6" s="1"/>
  <c r="N42" i="6"/>
  <c r="I33" i="6"/>
  <c r="I34" i="6" s="1"/>
  <c r="J12" i="6"/>
  <c r="L287" i="6"/>
  <c r="L255" i="6"/>
  <c r="Q309" i="6"/>
  <c r="K287" i="6"/>
  <c r="N210" i="6"/>
  <c r="J58" i="6"/>
  <c r="J59" i="6" s="1"/>
  <c r="M42" i="6"/>
  <c r="I12" i="6"/>
  <c r="Q261" i="6"/>
  <c r="Q276" i="6" s="1"/>
  <c r="J208" i="6"/>
  <c r="N151" i="6"/>
  <c r="I58" i="6"/>
  <c r="I59" i="6" s="1"/>
  <c r="O34" i="6"/>
  <c r="L210" i="6"/>
  <c r="I56" i="6"/>
  <c r="I57" i="6" s="1"/>
  <c r="P29" i="6"/>
  <c r="F19" i="6"/>
  <c r="F12" i="6"/>
  <c r="J287" i="6"/>
  <c r="I287" i="6"/>
  <c r="L264" i="6"/>
  <c r="L266" i="6" s="1"/>
  <c r="K264" i="6"/>
  <c r="H208" i="6"/>
  <c r="O59" i="6"/>
  <c r="M34" i="6"/>
  <c r="M309" i="6"/>
  <c r="I210" i="6"/>
  <c r="F208" i="6"/>
  <c r="I42" i="6"/>
  <c r="N29" i="6"/>
  <c r="O11" i="6"/>
  <c r="O12" i="6" s="1"/>
  <c r="P340" i="6"/>
  <c r="M261" i="6"/>
  <c r="M276" i="6" s="1"/>
  <c r="P209" i="6"/>
  <c r="J151" i="6"/>
  <c r="M59" i="6"/>
  <c r="N11" i="6"/>
  <c r="L261" i="6"/>
  <c r="L276" i="6" s="1"/>
  <c r="G264" i="6"/>
  <c r="G266" i="6" s="1"/>
  <c r="K261" i="6"/>
  <c r="K276" i="6" s="1"/>
  <c r="Q19" i="6"/>
  <c r="I309" i="6"/>
  <c r="J261" i="6"/>
  <c r="J276" i="6" s="1"/>
  <c r="M209" i="6"/>
  <c r="M210" i="6" s="1"/>
  <c r="I29" i="6"/>
  <c r="H261" i="6"/>
  <c r="L210" i="5"/>
  <c r="P234" i="5"/>
  <c r="O245" i="5"/>
  <c r="O234" i="5"/>
  <c r="P233" i="5"/>
  <c r="L208" i="5"/>
  <c r="P255" i="5"/>
  <c r="M12" i="5"/>
  <c r="M245" i="5"/>
  <c r="I34" i="5"/>
  <c r="L255" i="5"/>
  <c r="H245" i="5"/>
  <c r="O59" i="5"/>
  <c r="H255" i="5"/>
  <c r="I319" i="5"/>
  <c r="H276" i="5"/>
  <c r="O266" i="5"/>
  <c r="N243" i="5"/>
  <c r="N245" i="5" s="1"/>
  <c r="P209" i="5"/>
  <c r="P210" i="5" s="1"/>
  <c r="P207" i="5"/>
  <c r="P208" i="5" s="1"/>
  <c r="H203" i="5"/>
  <c r="O193" i="5"/>
  <c r="L59" i="5"/>
  <c r="M57" i="5"/>
  <c r="O52" i="5"/>
  <c r="N33" i="5"/>
  <c r="N34" i="5" s="1"/>
  <c r="F29" i="5"/>
  <c r="M19" i="5"/>
  <c r="N309" i="5"/>
  <c r="M266" i="5"/>
  <c r="M193" i="5"/>
  <c r="I88" i="5"/>
  <c r="L266" i="5"/>
  <c r="M255" i="5"/>
  <c r="O240" i="5"/>
  <c r="O255" i="5" s="1"/>
  <c r="M209" i="5"/>
  <c r="M210" i="5" s="1"/>
  <c r="M207" i="5"/>
  <c r="M208" i="5" s="1"/>
  <c r="L172" i="5"/>
  <c r="H59" i="5"/>
  <c r="I57" i="5"/>
  <c r="J33" i="5"/>
  <c r="J34" i="5" s="1"/>
  <c r="J19" i="5"/>
  <c r="J266" i="5"/>
  <c r="H57" i="5"/>
  <c r="I33" i="5"/>
  <c r="I12" i="5"/>
  <c r="I243" i="5"/>
  <c r="I245" i="5" s="1"/>
  <c r="L161" i="5"/>
  <c r="I52" i="5"/>
  <c r="I266" i="5"/>
  <c r="H266" i="5"/>
  <c r="L240" i="5"/>
  <c r="I209" i="5"/>
  <c r="I210" i="5" s="1"/>
  <c r="H193" i="5"/>
  <c r="J161" i="5"/>
  <c r="H119" i="5"/>
  <c r="P98" i="5"/>
  <c r="H52" i="5"/>
  <c r="O34" i="5"/>
  <c r="L298" i="5"/>
  <c r="G266" i="5"/>
  <c r="O56" i="5"/>
  <c r="O57" i="5" s="1"/>
  <c r="M298" i="5"/>
  <c r="M240" i="5"/>
  <c r="M340" i="5"/>
  <c r="F266" i="5"/>
  <c r="J240" i="5"/>
  <c r="J255" i="5" s="1"/>
  <c r="M58" i="5"/>
  <c r="M59" i="5" s="1"/>
  <c r="O11" i="5"/>
  <c r="O12" i="5" s="1"/>
  <c r="I240" i="5"/>
  <c r="I255" i="5" s="1"/>
  <c r="J58" i="5"/>
  <c r="J59" i="5" s="1"/>
  <c r="I42" i="5"/>
  <c r="L276" i="5"/>
  <c r="Q243" i="5"/>
  <c r="Q245" i="5" s="1"/>
  <c r="I29" i="5"/>
  <c r="J276" i="5"/>
  <c r="P243" i="5"/>
  <c r="P245" i="5" s="1"/>
  <c r="I276" i="5"/>
  <c r="G29" i="5"/>
  <c r="L241" i="4"/>
  <c r="O12" i="4"/>
  <c r="I34" i="4"/>
  <c r="L102" i="4"/>
  <c r="M251" i="4"/>
  <c r="O241" i="4"/>
  <c r="J239" i="4"/>
  <c r="J241" i="4" s="1"/>
  <c r="K236" i="4"/>
  <c r="K251" i="4" s="1"/>
  <c r="Q133" i="4"/>
  <c r="P125" i="4"/>
  <c r="N101" i="4"/>
  <c r="N102" i="4" s="1"/>
  <c r="L87" i="4"/>
  <c r="K79" i="4"/>
  <c r="O57" i="4"/>
  <c r="P33" i="4"/>
  <c r="P34" i="4" s="1"/>
  <c r="N19" i="4"/>
  <c r="M12" i="4"/>
  <c r="I239" i="4"/>
  <c r="I241" i="4" s="1"/>
  <c r="J236" i="4"/>
  <c r="J251" i="4" s="1"/>
  <c r="N272" i="4"/>
  <c r="H239" i="4"/>
  <c r="H241" i="4" s="1"/>
  <c r="I236" i="4"/>
  <c r="I251" i="4" s="1"/>
  <c r="P230" i="4"/>
  <c r="L101" i="4"/>
  <c r="N33" i="4"/>
  <c r="N34" i="4" s="1"/>
  <c r="P110" i="4"/>
  <c r="P251" i="4"/>
  <c r="K120" i="4"/>
  <c r="H101" i="4"/>
  <c r="H102" i="4" s="1"/>
  <c r="O78" i="4"/>
  <c r="O79" i="4" s="1"/>
  <c r="M52" i="4"/>
  <c r="J33" i="4"/>
  <c r="J34" i="4" s="1"/>
  <c r="J133" i="4"/>
  <c r="J120" i="4"/>
  <c r="N110" i="4"/>
  <c r="N78" i="4"/>
  <c r="N79" i="4" s="1"/>
  <c r="L52" i="4"/>
  <c r="I33" i="4"/>
  <c r="P11" i="4"/>
  <c r="P12" i="4" s="1"/>
  <c r="L133" i="4"/>
  <c r="I120" i="4"/>
  <c r="P97" i="4"/>
  <c r="M78" i="4"/>
  <c r="M79" i="4" s="1"/>
  <c r="K52" i="4"/>
  <c r="O11" i="4"/>
  <c r="Q239" i="4"/>
  <c r="Q241" i="4" s="1"/>
  <c r="L78" i="4"/>
  <c r="L79" i="4" s="1"/>
  <c r="N11" i="4"/>
  <c r="N12" i="4" s="1"/>
  <c r="P239" i="4"/>
  <c r="Q236" i="4"/>
  <c r="Q251" i="4" s="1"/>
  <c r="K110" i="4"/>
  <c r="N97" i="4"/>
  <c r="I52" i="4"/>
  <c r="P29" i="4"/>
  <c r="P236" i="4"/>
  <c r="J188" i="4"/>
  <c r="N166" i="4"/>
  <c r="M97" i="4"/>
  <c r="H52" i="4"/>
  <c r="O29" i="4"/>
  <c r="O236" i="4"/>
  <c r="O251" i="4" s="1"/>
  <c r="I19" i="4"/>
  <c r="N236" i="4"/>
  <c r="N251" i="4" s="1"/>
  <c r="M236" i="4"/>
  <c r="N241" i="4" s="1"/>
  <c r="N87" i="4"/>
  <c r="I42" i="4"/>
  <c r="P19" i="4"/>
  <c r="M102" i="3"/>
  <c r="P57" i="3"/>
  <c r="L125" i="3"/>
  <c r="L79" i="3"/>
  <c r="O34" i="3"/>
  <c r="I201" i="3"/>
  <c r="N34" i="3"/>
  <c r="N12" i="3"/>
  <c r="H79" i="3"/>
  <c r="M34" i="3"/>
  <c r="P102" i="3"/>
  <c r="P79" i="3"/>
  <c r="G235" i="3"/>
  <c r="I196" i="3"/>
  <c r="I211" i="3" s="1"/>
  <c r="L87" i="3"/>
  <c r="H78" i="3"/>
  <c r="K64" i="3"/>
  <c r="H56" i="3"/>
  <c r="H57" i="3" s="1"/>
  <c r="K42" i="3"/>
  <c r="G33" i="3"/>
  <c r="G34" i="3" s="1"/>
  <c r="K19" i="3"/>
  <c r="G11" i="3"/>
  <c r="G12" i="3" s="1"/>
  <c r="H196" i="3"/>
  <c r="H211" i="3" s="1"/>
  <c r="J192" i="3"/>
  <c r="H156" i="3"/>
  <c r="J143" i="3"/>
  <c r="K124" i="3"/>
  <c r="K125" i="3" s="1"/>
  <c r="L110" i="3"/>
  <c r="H101" i="3"/>
  <c r="K87" i="3"/>
  <c r="G78" i="3"/>
  <c r="G79" i="3" s="1"/>
  <c r="G56" i="3"/>
  <c r="G57" i="3" s="1"/>
  <c r="J42" i="3"/>
  <c r="J19" i="3"/>
  <c r="K178" i="3"/>
  <c r="P74" i="3"/>
  <c r="O29" i="3"/>
  <c r="I110" i="3"/>
  <c r="G42" i="3"/>
  <c r="N29" i="3"/>
  <c r="G225" i="3"/>
  <c r="J209" i="3"/>
  <c r="Q199" i="3"/>
  <c r="Q201" i="3" s="1"/>
  <c r="G143" i="3"/>
  <c r="Q120" i="3"/>
  <c r="G64" i="3"/>
  <c r="O52" i="3"/>
  <c r="N133" i="3"/>
  <c r="P120" i="3"/>
  <c r="O97" i="3"/>
  <c r="N52" i="3"/>
  <c r="M29" i="3"/>
  <c r="J193" i="3"/>
  <c r="K166" i="3"/>
  <c r="N125" i="3"/>
  <c r="O120" i="3"/>
  <c r="H102" i="3"/>
  <c r="N97" i="3"/>
  <c r="M52" i="3"/>
  <c r="F34" i="3"/>
  <c r="F12" i="3"/>
  <c r="P235" i="3"/>
  <c r="P199" i="3"/>
  <c r="K193" i="3"/>
  <c r="F143" i="3"/>
  <c r="N74" i="3"/>
  <c r="L133" i="3"/>
  <c r="M125" i="3"/>
  <c r="G102" i="3"/>
  <c r="F79" i="3"/>
  <c r="F57" i="3"/>
  <c r="P33" i="3"/>
  <c r="P34" i="3" s="1"/>
  <c r="P11" i="3"/>
  <c r="P12" i="3" s="1"/>
  <c r="J178" i="3"/>
  <c r="M166" i="3"/>
  <c r="O133" i="3"/>
  <c r="P97" i="3"/>
  <c r="H87" i="3"/>
  <c r="O74" i="3"/>
  <c r="G19" i="3"/>
  <c r="L166" i="3"/>
  <c r="G87" i="3"/>
  <c r="M199" i="3"/>
  <c r="M201" i="3" s="1"/>
  <c r="K133" i="3"/>
  <c r="P78" i="3"/>
  <c r="P56" i="3"/>
  <c r="O33" i="3"/>
  <c r="O11" i="3"/>
  <c r="O12" i="3" s="1"/>
  <c r="L199" i="3"/>
  <c r="L201" i="3" s="1"/>
  <c r="P196" i="3"/>
  <c r="P211" i="3" s="1"/>
  <c r="P101" i="3"/>
  <c r="O78" i="3"/>
  <c r="O79" i="3" s="1"/>
  <c r="O56" i="3"/>
  <c r="O57" i="3" s="1"/>
  <c r="N33" i="3"/>
  <c r="N11" i="3"/>
  <c r="K209" i="3"/>
  <c r="O196" i="3"/>
  <c r="O211" i="3" s="1"/>
  <c r="O101" i="3"/>
  <c r="O102" i="3" s="1"/>
  <c r="N78" i="3"/>
  <c r="N79" i="3" s="1"/>
  <c r="Q64" i="3"/>
  <c r="M33" i="3"/>
  <c r="M11" i="3"/>
  <c r="M12" i="3" s="1"/>
  <c r="N156" i="3"/>
  <c r="Q87" i="3"/>
  <c r="P42" i="3"/>
  <c r="P19" i="3"/>
  <c r="M101" i="3"/>
  <c r="P87" i="3"/>
  <c r="O42" i="3"/>
  <c r="O19" i="3"/>
  <c r="N19" i="3"/>
  <c r="M156" i="3"/>
  <c r="Q110" i="3"/>
  <c r="L156" i="3"/>
  <c r="N143" i="3"/>
  <c r="H120" i="3"/>
  <c r="P110" i="3"/>
  <c r="O87" i="3"/>
  <c r="N42" i="3"/>
  <c r="M143" i="3"/>
  <c r="J230" i="2"/>
  <c r="I287" i="2"/>
  <c r="J239" i="2"/>
  <c r="I231" i="2"/>
  <c r="I248" i="2"/>
  <c r="J275" i="2"/>
  <c r="I230" i="2"/>
  <c r="I275" i="2"/>
  <c r="H287" i="2"/>
  <c r="H231" i="2"/>
  <c r="I239" i="2"/>
  <c r="P57" i="2"/>
  <c r="H248" i="2"/>
  <c r="Q239" i="2"/>
  <c r="J12" i="2"/>
  <c r="Q266" i="2"/>
  <c r="Q248" i="2"/>
  <c r="G12" i="2"/>
  <c r="G275" i="2"/>
  <c r="G239" i="2"/>
  <c r="P234" i="2"/>
  <c r="Q200" i="2"/>
  <c r="M189" i="2"/>
  <c r="L118" i="2"/>
  <c r="G117" i="2"/>
  <c r="G118" i="2" s="1"/>
  <c r="L80" i="2"/>
  <c r="G79" i="2"/>
  <c r="G80" i="2" s="1"/>
  <c r="J64" i="2"/>
  <c r="K57" i="2"/>
  <c r="K34" i="2"/>
  <c r="K12" i="2"/>
  <c r="O234" i="2"/>
  <c r="L189" i="2"/>
  <c r="O156" i="2"/>
  <c r="P52" i="2"/>
  <c r="P29" i="2"/>
  <c r="H18" i="2"/>
  <c r="K189" i="2"/>
  <c r="N156" i="2"/>
  <c r="P75" i="2"/>
  <c r="M234" i="2"/>
  <c r="J189" i="2"/>
  <c r="M156" i="2"/>
  <c r="I118" i="2"/>
  <c r="O113" i="2"/>
  <c r="L234" i="2"/>
  <c r="I189" i="2"/>
  <c r="L156" i="2"/>
  <c r="H118" i="2"/>
  <c r="H189" i="2"/>
  <c r="K156" i="2"/>
  <c r="F12" i="2"/>
  <c r="J234" i="2"/>
  <c r="J156" i="2"/>
  <c r="L113" i="2"/>
  <c r="L75" i="2"/>
  <c r="L248" i="2" s="1"/>
  <c r="K52" i="2"/>
  <c r="K29" i="2"/>
  <c r="O230" i="2"/>
  <c r="L163" i="2"/>
  <c r="I156" i="2"/>
  <c r="P117" i="2"/>
  <c r="P118" i="2" s="1"/>
  <c r="K75" i="2"/>
  <c r="J163" i="2"/>
  <c r="I163" i="2"/>
  <c r="M79" i="2"/>
  <c r="M80" i="2" s="1"/>
  <c r="L33" i="2"/>
  <c r="L34" i="2" s="1"/>
  <c r="L11" i="2"/>
  <c r="L12" i="2" s="1"/>
  <c r="L117" i="2"/>
  <c r="F29" i="2"/>
  <c r="F266" i="2" s="1"/>
  <c r="K266" i="6" l="1"/>
  <c r="M266" i="6"/>
  <c r="N266" i="6"/>
  <c r="L234" i="5"/>
  <c r="M233" i="5"/>
  <c r="M234" i="5" s="1"/>
  <c r="J245" i="5"/>
  <c r="K245" i="5"/>
  <c r="P241" i="4"/>
  <c r="K241" i="4"/>
  <c r="P201" i="3"/>
  <c r="J201" i="3"/>
  <c r="N230" i="2"/>
  <c r="N231" i="2" s="1"/>
  <c r="M287" i="2"/>
  <c r="J248" i="2"/>
  <c r="K275" i="2"/>
  <c r="K230" i="2"/>
  <c r="K231" i="2" s="1"/>
  <c r="J287" i="2"/>
  <c r="J231" i="2"/>
  <c r="K239" i="2"/>
  <c r="P248" i="2"/>
  <c r="P266" i="2"/>
  <c r="P287" i="2"/>
  <c r="O231" i="2"/>
  <c r="P230" i="2"/>
  <c r="P231" i="2" s="1"/>
  <c r="O287" i="2"/>
  <c r="L231" i="2"/>
  <c r="M230" i="2"/>
  <c r="M231" i="2" s="1"/>
  <c r="L287" i="2"/>
  <c r="M275" i="2"/>
  <c r="Q275" i="2"/>
  <c r="N275" i="2"/>
  <c r="K266" i="2"/>
  <c r="K248" i="2"/>
  <c r="P239" i="2"/>
  <c r="P27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tc={BA5540BF-065B-4374-828F-95E2FAFA52D9}</author>
  </authors>
  <commentList>
    <comment ref="P243" authorId="0" shapeId="0" xr:uid="{BA5540BF-065B-4374-828F-95E2FAFA52D9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+1.459 Cancelamento Klini </t>
      </text>
    </comment>
  </commentList>
</comments>
</file>

<file path=xl/sharedStrings.xml><?xml version="1.0" encoding="utf-8"?>
<sst xmlns="http://schemas.openxmlformats.org/spreadsheetml/2006/main" count="2340" uniqueCount="51">
  <si>
    <t>Bonificação Corretores/supervisores</t>
  </si>
  <si>
    <t>Comissão Concessionárias</t>
  </si>
  <si>
    <t>Ticket médio</t>
  </si>
  <si>
    <t>Vendas</t>
  </si>
  <si>
    <t>Inadimplência</t>
  </si>
  <si>
    <t>Faturamento Recebido</t>
  </si>
  <si>
    <t>Faturamento Emitido</t>
  </si>
  <si>
    <t>Faturamento Orçado</t>
  </si>
  <si>
    <t>Outros (A partir de Maio)</t>
  </si>
  <si>
    <t>Falecimento (A partir de Maio)</t>
  </si>
  <si>
    <t>Exclusão de dependente (A partir de Maio)</t>
  </si>
  <si>
    <t>Cancel. Solicitado OPS</t>
  </si>
  <si>
    <t>Cancel. solicitação cliente</t>
  </si>
  <si>
    <t>Cancel. por Inadimplência</t>
  </si>
  <si>
    <t>% cancelamento</t>
  </si>
  <si>
    <t>Retenção</t>
  </si>
  <si>
    <t>Cancelamento Líquido</t>
  </si>
  <si>
    <t>Total Migração</t>
  </si>
  <si>
    <t>Migração CABERJ&gt;OUTRAS OPERADORAS  (A partir de Agosto)</t>
  </si>
  <si>
    <t>Base Vidas</t>
  </si>
  <si>
    <t>Meta orçada</t>
  </si>
  <si>
    <t>Dez</t>
  </si>
  <si>
    <t>Nov</t>
  </si>
  <si>
    <t>Out</t>
  </si>
  <si>
    <t>Set</t>
  </si>
  <si>
    <t>Ago</t>
  </si>
  <si>
    <t>Jul</t>
  </si>
  <si>
    <t>Jun</t>
  </si>
  <si>
    <t>Mai</t>
  </si>
  <si>
    <t>Abr</t>
  </si>
  <si>
    <t>Mar</t>
  </si>
  <si>
    <t>Fev</t>
  </si>
  <si>
    <t>Jan</t>
  </si>
  <si>
    <t>Indicador</t>
  </si>
  <si>
    <t>-</t>
  </si>
  <si>
    <r>
      <t xml:space="preserve">Outros </t>
    </r>
    <r>
      <rPr>
        <sz val="8"/>
        <color rgb="FF000000"/>
        <rFont val="Aptos Narrow"/>
        <family val="2"/>
        <scheme val="minor"/>
      </rPr>
      <t>(A partir de Maio)</t>
    </r>
  </si>
  <si>
    <t>Migração CABERJ&gt;ASSIM  (A partir de Agosto)</t>
  </si>
  <si>
    <t>Migração ASSIM&gt;OUTRAS OPERADORAS  (A partir de Agosto)</t>
  </si>
  <si>
    <t>Migração ASSIM&gt;ASSIM (A partir de Agosto)</t>
  </si>
  <si>
    <t>Vidas canceladas</t>
  </si>
  <si>
    <t>Base Saúde</t>
  </si>
  <si>
    <t>Base Dental</t>
  </si>
  <si>
    <r>
      <t xml:space="preserve">Falecimento </t>
    </r>
    <r>
      <rPr>
        <sz val="8"/>
        <color rgb="FF000000"/>
        <rFont val="Aptos Narrow"/>
        <family val="2"/>
        <scheme val="minor"/>
      </rPr>
      <t>(A partir de Maio)</t>
    </r>
  </si>
  <si>
    <r>
      <t xml:space="preserve">Exclusão de dependente </t>
    </r>
    <r>
      <rPr>
        <sz val="8"/>
        <color rgb="FF000000"/>
        <rFont val="Aptos Narrow"/>
        <family val="2"/>
        <scheme val="minor"/>
      </rPr>
      <t>(A partir de Maio)</t>
    </r>
  </si>
  <si>
    <t>Base</t>
  </si>
  <si>
    <t>.</t>
  </si>
  <si>
    <t>Outros</t>
  </si>
  <si>
    <t>Falecimento</t>
  </si>
  <si>
    <t>Exclusão de dependente</t>
  </si>
  <si>
    <t>Inadimplência do fechamento do mês</t>
  </si>
  <si>
    <t>Óbito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</si>
</sst>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_-;\-* #,##0_-;_-* &quot;-&quot;??_-;_-@_-"/>
    <numFmt numFmtId="165" formatCode="_-&quot;R$&quot;* #,##0.00_-;\-&quot;R$&quot;* #,##0.00_-;_-&quot;R$&quot;* &quot;-&quot;??_-;_-@_-"/>
    <numFmt numFmtId="166" formatCode="_-&quot;R$&quot;* #,##0_-;\-&quot;R$&quot;* #,##0_-;_-&quot;R$&quot;* &quot;-&quot;??_-;_-@_-"/>
    <numFmt numFmtId="167" formatCode="_(* #,##0.00_);_(* \(#,##0.00\);_(* &quot;-&quot;??_);_(@_)"/>
    <numFmt numFmtId="168" formatCode="_-[$R$-416]\ * #,##0_-;\-[$R$-416]\ * #,##0_-;_-[$R$-416]\ * &quot;-&quot;??_-;_-@_-"/>
    <numFmt numFmtId="169" formatCode="_(&quot;R$ &quot;* #,##0.00_);_(&quot;R$ &quot;* \(#,##0.00\);_(&quot;R$ &quot;* &quot;-&quot;??_);_(@_)"/>
    <numFmt numFmtId="170" formatCode="_(&quot;R$ &quot;* #,##0_);_(&quot;R$ &quot;* \(#,##0\);_(&quot;R$ &quot;* &quot;-&quot;??_);_(@_)"/>
    <numFmt numFmtId="171" formatCode="_-* #,##0_-;\(#,##0\)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0"/>
      <color indexed="8"/>
      <name val="Aptos Narrow"/>
      <family val="2"/>
      <scheme val="minor"/>
    </font>
    <font>
      <b/>
      <i/>
      <sz val="9"/>
      <color rgb="FFFF0000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8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i/>
      <sz val="10"/>
      <color indexed="8"/>
      <name val="Aptos Narrow"/>
      <family val="2"/>
      <scheme val="minor"/>
    </font>
    <font>
      <sz val="10"/>
      <name val="Calibri"/>
      <family val="2"/>
    </font>
    <font>
      <b/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</fills>
  <borders count="4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/>
      <bottom/>
      <diagonal/>
    </border>
  </borders>
  <cellStyleXfs count="10">
    <xf numFmtId="0" fontId="0" fillId="0" borderId="0"/>
    <xf numFmtId="0" fontId="2" fillId="0" borderId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5">
    <xf numFmtId="0" fontId="0" fillId="0" borderId="0" xfId="0"/>
    <xf numFmtId="0" fontId="3" fillId="2" borderId="0" xfId="1" applyFont="1" applyFill="1"/>
    <xf numFmtId="0" fontId="3" fillId="3" borderId="0" xfId="1" applyFont="1" applyFill="1"/>
    <xf numFmtId="164" fontId="4" fillId="2" borderId="0" xfId="1" applyNumberFormat="1" applyFont="1" applyFill="1"/>
    <xf numFmtId="166" fontId="3" fillId="0" borderId="1" xfId="2" applyNumberFormat="1" applyFont="1" applyFill="1" applyBorder="1"/>
    <xf numFmtId="0" fontId="5" fillId="4" borderId="2" xfId="1" applyFont="1" applyFill="1" applyBorder="1" applyAlignment="1">
      <alignment horizontal="left"/>
    </xf>
    <xf numFmtId="164" fontId="3" fillId="2" borderId="0" xfId="1" applyNumberFormat="1" applyFont="1" applyFill="1"/>
    <xf numFmtId="0" fontId="4" fillId="2" borderId="0" xfId="1" applyFont="1" applyFill="1" applyAlignment="1">
      <alignment horizontal="right"/>
    </xf>
    <xf numFmtId="164" fontId="3" fillId="0" borderId="2" xfId="3" applyNumberFormat="1" applyFont="1" applyFill="1" applyBorder="1"/>
    <xf numFmtId="10" fontId="3" fillId="0" borderId="1" xfId="4" applyNumberFormat="1" applyFont="1" applyFill="1" applyBorder="1"/>
    <xf numFmtId="10" fontId="3" fillId="0" borderId="2" xfId="4" applyNumberFormat="1" applyFont="1" applyFill="1" applyBorder="1"/>
    <xf numFmtId="164" fontId="3" fillId="0" borderId="1" xfId="3" applyNumberFormat="1" applyFont="1" applyFill="1" applyBorder="1"/>
    <xf numFmtId="164" fontId="3" fillId="2" borderId="0" xfId="3" applyNumberFormat="1" applyFont="1" applyFill="1" applyBorder="1"/>
    <xf numFmtId="164" fontId="6" fillId="0" borderId="2" xfId="3" applyNumberFormat="1" applyFont="1" applyFill="1" applyBorder="1"/>
    <xf numFmtId="0" fontId="3" fillId="4" borderId="2" xfId="1" applyFont="1" applyFill="1" applyBorder="1" applyAlignment="1">
      <alignment horizontal="left" indent="1"/>
    </xf>
    <xf numFmtId="0" fontId="7" fillId="2" borderId="0" xfId="1" applyFont="1" applyFill="1" applyAlignment="1">
      <alignment horizontal="center"/>
    </xf>
    <xf numFmtId="0" fontId="3" fillId="0" borderId="0" xfId="1" applyFont="1"/>
    <xf numFmtId="10" fontId="3" fillId="0" borderId="0" xfId="4" applyNumberFormat="1" applyFont="1"/>
    <xf numFmtId="164" fontId="3" fillId="0" borderId="0" xfId="1" applyNumberFormat="1" applyFont="1"/>
    <xf numFmtId="166" fontId="3" fillId="0" borderId="0" xfId="1" applyNumberFormat="1" applyFont="1"/>
    <xf numFmtId="10" fontId="3" fillId="0" borderId="0" xfId="4" applyNumberFormat="1" applyFont="1" applyFill="1"/>
    <xf numFmtId="166" fontId="3" fillId="0" borderId="0" xfId="2" applyNumberFormat="1" applyFont="1" applyFill="1" applyBorder="1"/>
    <xf numFmtId="0" fontId="3" fillId="0" borderId="0" xfId="1" applyFont="1" applyAlignment="1">
      <alignment horizontal="center"/>
    </xf>
    <xf numFmtId="166" fontId="3" fillId="0" borderId="2" xfId="2" applyNumberFormat="1" applyFont="1" applyFill="1" applyBorder="1"/>
    <xf numFmtId="168" fontId="3" fillId="0" borderId="2" xfId="3" applyNumberFormat="1" applyFont="1" applyFill="1" applyBorder="1"/>
    <xf numFmtId="0" fontId="5" fillId="4" borderId="3" xfId="1" applyFont="1" applyFill="1" applyBorder="1" applyAlignment="1">
      <alignment horizontal="left"/>
    </xf>
    <xf numFmtId="3" fontId="3" fillId="0" borderId="2" xfId="4" applyNumberFormat="1" applyFont="1" applyFill="1" applyBorder="1"/>
    <xf numFmtId="3" fontId="3" fillId="0" borderId="2" xfId="3" applyNumberFormat="1" applyFont="1" applyFill="1" applyBorder="1"/>
    <xf numFmtId="0" fontId="2" fillId="2" borderId="0" xfId="1" applyFill="1"/>
    <xf numFmtId="164" fontId="3" fillId="3" borderId="0" xfId="1" applyNumberFormat="1" applyFont="1" applyFill="1"/>
    <xf numFmtId="164" fontId="3" fillId="3" borderId="0" xfId="3" applyNumberFormat="1" applyFont="1" applyFill="1" applyBorder="1"/>
    <xf numFmtId="165" fontId="3" fillId="5" borderId="0" xfId="2" applyFont="1" applyFill="1" applyBorder="1"/>
    <xf numFmtId="165" fontId="3" fillId="0" borderId="0" xfId="2" applyFont="1" applyFill="1" applyBorder="1"/>
    <xf numFmtId="166" fontId="3" fillId="5" borderId="0" xfId="2" applyNumberFormat="1" applyFont="1" applyFill="1" applyBorder="1"/>
    <xf numFmtId="168" fontId="3" fillId="0" borderId="2" xfId="2" applyNumberFormat="1" applyFont="1" applyFill="1" applyBorder="1"/>
    <xf numFmtId="168" fontId="9" fillId="0" borderId="2" xfId="2" applyNumberFormat="1" applyFont="1" applyFill="1" applyBorder="1"/>
    <xf numFmtId="9" fontId="3" fillId="0" borderId="2" xfId="4" applyFont="1" applyFill="1" applyBorder="1"/>
    <xf numFmtId="167" fontId="3" fillId="2" borderId="0" xfId="1" applyNumberFormat="1" applyFont="1" applyFill="1"/>
    <xf numFmtId="168" fontId="6" fillId="0" borderId="2" xfId="3" applyNumberFormat="1" applyFont="1" applyFill="1" applyBorder="1"/>
    <xf numFmtId="165" fontId="3" fillId="2" borderId="0" xfId="1" applyNumberFormat="1" applyFont="1" applyFill="1"/>
    <xf numFmtId="168" fontId="3" fillId="0" borderId="2" xfId="3" applyNumberFormat="1" applyFont="1" applyFill="1" applyBorder="1" applyAlignment="1">
      <alignment horizontal="center"/>
    </xf>
    <xf numFmtId="165" fontId="3" fillId="2" borderId="0" xfId="2" applyFont="1" applyFill="1"/>
    <xf numFmtId="164" fontId="3" fillId="0" borderId="2" xfId="3" applyNumberFormat="1" applyFont="1" applyFill="1" applyBorder="1" applyAlignment="1">
      <alignment horizontal="center"/>
    </xf>
    <xf numFmtId="166" fontId="3" fillId="2" borderId="0" xfId="1" applyNumberFormat="1" applyFont="1" applyFill="1"/>
    <xf numFmtId="168" fontId="3" fillId="2" borderId="0" xfId="1" applyNumberFormat="1" applyFont="1" applyFill="1"/>
    <xf numFmtId="164" fontId="3" fillId="2" borderId="0" xfId="3" applyNumberFormat="1" applyFont="1" applyFill="1"/>
    <xf numFmtId="0" fontId="10" fillId="2" borderId="0" xfId="1" applyFont="1" applyFill="1" applyAlignment="1">
      <alignment horizontal="right"/>
    </xf>
    <xf numFmtId="164" fontId="6" fillId="2" borderId="0" xfId="1" applyNumberFormat="1" applyFont="1" applyFill="1"/>
    <xf numFmtId="166" fontId="3" fillId="0" borderId="1" xfId="1" applyNumberFormat="1" applyFont="1" applyBorder="1"/>
    <xf numFmtId="168" fontId="3" fillId="0" borderId="1" xfId="3" applyNumberFormat="1" applyFont="1" applyFill="1" applyBorder="1"/>
    <xf numFmtId="10" fontId="3" fillId="0" borderId="1" xfId="1" applyNumberFormat="1" applyFont="1" applyBorder="1"/>
    <xf numFmtId="0" fontId="7" fillId="0" borderId="0" xfId="1" applyFont="1" applyAlignment="1">
      <alignment horizontal="center"/>
    </xf>
    <xf numFmtId="1" fontId="3" fillId="0" borderId="1" xfId="1" applyNumberFormat="1" applyFont="1" applyBorder="1"/>
    <xf numFmtId="164" fontId="3" fillId="0" borderId="0" xfId="3" applyNumberFormat="1" applyFont="1" applyFill="1"/>
    <xf numFmtId="0" fontId="7" fillId="6" borderId="0" xfId="1" applyFont="1" applyFill="1" applyAlignment="1">
      <alignment horizontal="center"/>
    </xf>
    <xf numFmtId="164" fontId="3" fillId="3" borderId="0" xfId="4" applyNumberFormat="1" applyFont="1" applyFill="1"/>
    <xf numFmtId="165" fontId="3" fillId="0" borderId="2" xfId="2" applyFont="1" applyFill="1" applyBorder="1"/>
    <xf numFmtId="164" fontId="3" fillId="0" borderId="2" xfId="1" applyNumberFormat="1" applyFont="1" applyBorder="1" applyAlignment="1">
      <alignment horizontal="left"/>
    </xf>
    <xf numFmtId="0" fontId="7" fillId="2" borderId="2" xfId="1" applyFont="1" applyFill="1" applyBorder="1" applyAlignment="1">
      <alignment horizontal="center"/>
    </xf>
    <xf numFmtId="0" fontId="3" fillId="0" borderId="2" xfId="1" applyFont="1" applyBorder="1"/>
    <xf numFmtId="165" fontId="3" fillId="3" borderId="0" xfId="2" applyFont="1" applyFill="1"/>
    <xf numFmtId="9" fontId="3" fillId="3" borderId="0" xfId="4" applyFont="1" applyFill="1"/>
    <xf numFmtId="164" fontId="3" fillId="0" borderId="2" xfId="1" applyNumberFormat="1" applyFont="1" applyBorder="1"/>
    <xf numFmtId="170" fontId="6" fillId="0" borderId="2" xfId="5" applyNumberFormat="1" applyFont="1" applyFill="1" applyBorder="1" applyAlignment="1">
      <alignment horizontal="center"/>
    </xf>
    <xf numFmtId="164" fontId="3" fillId="0" borderId="2" xfId="1" applyNumberFormat="1" applyFont="1" applyBorder="1" applyAlignment="1">
      <alignment horizontal="right"/>
    </xf>
    <xf numFmtId="0" fontId="7" fillId="6" borderId="2" xfId="1" applyFont="1" applyFill="1" applyBorder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164" fontId="3" fillId="0" borderId="2" xfId="3" quotePrefix="1" applyNumberFormat="1" applyFont="1" applyFill="1" applyBorder="1"/>
    <xf numFmtId="166" fontId="3" fillId="0" borderId="2" xfId="2" quotePrefix="1" applyNumberFormat="1" applyFont="1" applyFill="1" applyBorder="1"/>
    <xf numFmtId="171" fontId="11" fillId="0" borderId="2" xfId="6" applyNumberFormat="1" applyFont="1" applyFill="1" applyBorder="1" applyAlignment="1">
      <alignment horizontal="right"/>
    </xf>
    <xf numFmtId="0" fontId="3" fillId="7" borderId="0" xfId="1" applyFont="1" applyFill="1"/>
    <xf numFmtId="0" fontId="2" fillId="7" borderId="0" xfId="1" applyFill="1"/>
    <xf numFmtId="0" fontId="7" fillId="7" borderId="0" xfId="1" applyFont="1" applyFill="1" applyAlignment="1">
      <alignment horizontal="center"/>
    </xf>
    <xf numFmtId="164" fontId="12" fillId="7" borderId="0" xfId="1" applyNumberFormat="1" applyFont="1" applyFill="1" applyAlignment="1">
      <alignment horizontal="center"/>
    </xf>
    <xf numFmtId="0" fontId="3" fillId="5" borderId="0" xfId="1" applyFont="1" applyFill="1"/>
    <xf numFmtId="168" fontId="3" fillId="0" borderId="2" xfId="7" applyNumberFormat="1" applyFont="1" applyFill="1" applyBorder="1"/>
    <xf numFmtId="164" fontId="3" fillId="0" borderId="2" xfId="7" applyNumberFormat="1" applyFont="1" applyFill="1" applyBorder="1"/>
    <xf numFmtId="0" fontId="3" fillId="8" borderId="0" xfId="1" applyFont="1" applyFill="1"/>
    <xf numFmtId="164" fontId="3" fillId="0" borderId="2" xfId="7" applyNumberFormat="1" applyFont="1" applyFill="1" applyBorder="1" applyAlignment="1">
      <alignment horizontal="center"/>
    </xf>
    <xf numFmtId="164" fontId="3" fillId="0" borderId="2" xfId="8" applyNumberFormat="1" applyFont="1" applyFill="1" applyBorder="1" applyAlignment="1">
      <alignment horizontal="center"/>
    </xf>
    <xf numFmtId="164" fontId="3" fillId="0" borderId="2" xfId="8" applyNumberFormat="1" applyFont="1" applyFill="1" applyBorder="1"/>
    <xf numFmtId="164" fontId="3" fillId="0" borderId="2" xfId="9" applyNumberFormat="1" applyFont="1" applyFill="1" applyBorder="1"/>
    <xf numFmtId="168" fontId="3" fillId="0" borderId="2" xfId="8" applyNumberFormat="1" applyFont="1" applyFill="1" applyBorder="1"/>
    <xf numFmtId="164" fontId="3" fillId="0" borderId="2" xfId="9" applyNumberFormat="1" applyFont="1" applyFill="1" applyBorder="1" applyAlignment="1">
      <alignment horizontal="center"/>
    </xf>
    <xf numFmtId="164" fontId="2" fillId="2" borderId="0" xfId="1" applyNumberFormat="1" applyFill="1"/>
  </cellXfs>
  <cellStyles count="10">
    <cellStyle name="Moeda 2" xfId="2" xr:uid="{51090418-DE67-4839-ABA3-7BC678AB62F2}"/>
    <cellStyle name="Moeda 2 2" xfId="5" xr:uid="{4792E7BE-609C-412F-B1A2-3F53E70C0C82}"/>
    <cellStyle name="Moeda 5" xfId="6" xr:uid="{054A5D5B-35DF-41BD-B152-AE41921AAD74}"/>
    <cellStyle name="Normal" xfId="0" builtinId="0"/>
    <cellStyle name="Normal 2" xfId="1" xr:uid="{C1124ED8-2956-4E1E-8E69-71CA96E7F1CF}"/>
    <cellStyle name="Porcentagem 2" xfId="4" xr:uid="{3543676D-1AE9-40AD-9CD5-47E72CCA44E0}"/>
    <cellStyle name="Vírgula 2 2" xfId="3" xr:uid="{F3856522-E7EC-4AD9-97F7-98E2D6EDCEE2}"/>
    <cellStyle name="Vírgula 2 2 2" xfId="7" xr:uid="{6F807598-5876-4561-AB06-4CDEABC139AE}"/>
    <cellStyle name="Vírgula 2 2 2 2" xfId="8" xr:uid="{A5B4D38D-FA44-482A-B859-FF075AF9E229}"/>
    <cellStyle name="Vírgula 2 2 3" xfId="9" xr:uid="{7C784DCF-01C6-4DE4-ABA3-B42F069210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9.png"/><Relationship Id="rId7" Type="http://schemas.openxmlformats.org/officeDocument/2006/relationships/image" Target="../media/image5.png"/><Relationship Id="rId2" Type="http://schemas.openxmlformats.org/officeDocument/2006/relationships/image" Target="../media/image8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image" Target="../media/image3.png"/><Relationship Id="rId10" Type="http://schemas.openxmlformats.org/officeDocument/2006/relationships/image" Target="../media/image12.png"/><Relationship Id="rId4" Type="http://schemas.openxmlformats.org/officeDocument/2006/relationships/image" Target="../media/image2.png"/><Relationship Id="rId9" Type="http://schemas.openxmlformats.org/officeDocument/2006/relationships/image" Target="../media/image11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5.png"/><Relationship Id="rId3" Type="http://schemas.openxmlformats.org/officeDocument/2006/relationships/image" Target="../media/image9.png"/><Relationship Id="rId7" Type="http://schemas.openxmlformats.org/officeDocument/2006/relationships/image" Target="../media/image5.png"/><Relationship Id="rId12" Type="http://schemas.openxmlformats.org/officeDocument/2006/relationships/image" Target="../media/image14.sv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13.png"/><Relationship Id="rId5" Type="http://schemas.openxmlformats.org/officeDocument/2006/relationships/image" Target="../media/image3.png"/><Relationship Id="rId10" Type="http://schemas.openxmlformats.org/officeDocument/2006/relationships/image" Target="../media/image12.png"/><Relationship Id="rId4" Type="http://schemas.openxmlformats.org/officeDocument/2006/relationships/image" Target="../media/image2.png"/><Relationship Id="rId9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7.png"/><Relationship Id="rId3" Type="http://schemas.openxmlformats.org/officeDocument/2006/relationships/image" Target="../media/image9.png"/><Relationship Id="rId7" Type="http://schemas.openxmlformats.org/officeDocument/2006/relationships/image" Target="../media/image5.png"/><Relationship Id="rId12" Type="http://schemas.openxmlformats.org/officeDocument/2006/relationships/image" Target="../media/image16.png"/><Relationship Id="rId2" Type="http://schemas.openxmlformats.org/officeDocument/2006/relationships/image" Target="../media/image7.pn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11" Type="http://schemas.openxmlformats.org/officeDocument/2006/relationships/image" Target="../media/image14.svg"/><Relationship Id="rId5" Type="http://schemas.openxmlformats.org/officeDocument/2006/relationships/image" Target="../media/image3.png"/><Relationship Id="rId15" Type="http://schemas.openxmlformats.org/officeDocument/2006/relationships/image" Target="../media/image19.png"/><Relationship Id="rId10" Type="http://schemas.openxmlformats.org/officeDocument/2006/relationships/image" Target="../media/image13.png"/><Relationship Id="rId4" Type="http://schemas.openxmlformats.org/officeDocument/2006/relationships/image" Target="../media/image2.png"/><Relationship Id="rId9" Type="http://schemas.openxmlformats.org/officeDocument/2006/relationships/image" Target="../media/image11.png"/><Relationship Id="rId14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13" Type="http://schemas.openxmlformats.org/officeDocument/2006/relationships/image" Target="../media/image21.png"/><Relationship Id="rId18" Type="http://schemas.openxmlformats.org/officeDocument/2006/relationships/image" Target="../media/image24.png"/><Relationship Id="rId3" Type="http://schemas.openxmlformats.org/officeDocument/2006/relationships/image" Target="../media/image9.png"/><Relationship Id="rId7" Type="http://schemas.openxmlformats.org/officeDocument/2006/relationships/image" Target="../media/image11.png"/><Relationship Id="rId12" Type="http://schemas.openxmlformats.org/officeDocument/2006/relationships/image" Target="../media/image20.png"/><Relationship Id="rId17" Type="http://schemas.openxmlformats.org/officeDocument/2006/relationships/image" Target="../media/image23.png"/><Relationship Id="rId2" Type="http://schemas.openxmlformats.org/officeDocument/2006/relationships/image" Target="../media/image7.png"/><Relationship Id="rId16" Type="http://schemas.openxmlformats.org/officeDocument/2006/relationships/image" Target="../media/image19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11" Type="http://schemas.openxmlformats.org/officeDocument/2006/relationships/image" Target="../media/image18.png"/><Relationship Id="rId5" Type="http://schemas.openxmlformats.org/officeDocument/2006/relationships/image" Target="../media/image4.png"/><Relationship Id="rId15" Type="http://schemas.openxmlformats.org/officeDocument/2006/relationships/image" Target="../media/image2.png"/><Relationship Id="rId10" Type="http://schemas.openxmlformats.org/officeDocument/2006/relationships/image" Target="../media/image16.png"/><Relationship Id="rId4" Type="http://schemas.openxmlformats.org/officeDocument/2006/relationships/image" Target="../media/image3.png"/><Relationship Id="rId9" Type="http://schemas.openxmlformats.org/officeDocument/2006/relationships/image" Target="../media/image14.svg"/><Relationship Id="rId14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2.png"/><Relationship Id="rId3" Type="http://schemas.openxmlformats.org/officeDocument/2006/relationships/image" Target="../media/image9.png"/><Relationship Id="rId7" Type="http://schemas.openxmlformats.org/officeDocument/2006/relationships/image" Target="../media/image11.png"/><Relationship Id="rId12" Type="http://schemas.openxmlformats.org/officeDocument/2006/relationships/image" Target="../media/image22.png"/><Relationship Id="rId17" Type="http://schemas.openxmlformats.org/officeDocument/2006/relationships/image" Target="../media/image25.png"/><Relationship Id="rId2" Type="http://schemas.openxmlformats.org/officeDocument/2006/relationships/image" Target="../media/image7.png"/><Relationship Id="rId16" Type="http://schemas.openxmlformats.org/officeDocument/2006/relationships/image" Target="../media/image24.png"/><Relationship Id="rId1" Type="http://schemas.openxmlformats.org/officeDocument/2006/relationships/image" Target="../media/image1.png"/><Relationship Id="rId6" Type="http://schemas.openxmlformats.org/officeDocument/2006/relationships/image" Target="../media/image10.png"/><Relationship Id="rId11" Type="http://schemas.openxmlformats.org/officeDocument/2006/relationships/image" Target="../media/image21.png"/><Relationship Id="rId5" Type="http://schemas.openxmlformats.org/officeDocument/2006/relationships/image" Target="../media/image4.png"/><Relationship Id="rId15" Type="http://schemas.openxmlformats.org/officeDocument/2006/relationships/image" Target="../media/image23.png"/><Relationship Id="rId10" Type="http://schemas.openxmlformats.org/officeDocument/2006/relationships/image" Target="../media/image20.png"/><Relationship Id="rId4" Type="http://schemas.openxmlformats.org/officeDocument/2006/relationships/image" Target="../media/image3.png"/><Relationship Id="rId9" Type="http://schemas.openxmlformats.org/officeDocument/2006/relationships/image" Target="../media/image18.png"/><Relationship Id="rId14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422362</xdr:colOff>
      <xdr:row>10</xdr:row>
      <xdr:rowOff>35717</xdr:rowOff>
    </xdr:from>
    <xdr:ext cx="1345479" cy="2776038"/>
    <xdr:pic>
      <xdr:nvPicPr>
        <xdr:cNvPr id="2" name="Imagem 1">
          <a:extLst>
            <a:ext uri="{FF2B5EF4-FFF2-40B4-BE49-F238E27FC236}">
              <a16:creationId xmlns:a16="http://schemas.microsoft.com/office/drawing/2014/main" id="{664E23BA-8CE9-40A9-B572-88166ECD61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68" b="37304"/>
        <a:stretch/>
      </xdr:blipFill>
      <xdr:spPr>
        <a:xfrm rot="16200000">
          <a:off x="-292917" y="2579796"/>
          <a:ext cx="2776038" cy="1345479"/>
        </a:xfrm>
        <a:prstGeom prst="rect">
          <a:avLst/>
        </a:prstGeom>
      </xdr:spPr>
    </xdr:pic>
    <xdr:clientData/>
  </xdr:oneCellAnchor>
  <xdr:oneCellAnchor>
    <xdr:from>
      <xdr:col>0</xdr:col>
      <xdr:colOff>349569</xdr:colOff>
      <xdr:row>31</xdr:row>
      <xdr:rowOff>61913</xdr:rowOff>
    </xdr:from>
    <xdr:ext cx="1156643" cy="2570800"/>
    <xdr:pic>
      <xdr:nvPicPr>
        <xdr:cNvPr id="3" name="Imagem 2" descr="ASSIM SAÚDE">
          <a:extLst>
            <a:ext uri="{FF2B5EF4-FFF2-40B4-BE49-F238E27FC236}">
              <a16:creationId xmlns:a16="http://schemas.microsoft.com/office/drawing/2014/main" id="{C98B02BE-CC3E-4087-B8F9-ECECDA91A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357509" y="6438271"/>
          <a:ext cx="2570800" cy="1156643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438156</xdr:colOff>
      <xdr:row>53</xdr:row>
      <xdr:rowOff>12862</xdr:rowOff>
    </xdr:from>
    <xdr:ext cx="1073028" cy="2456019"/>
    <xdr:pic>
      <xdr:nvPicPr>
        <xdr:cNvPr id="4" name="Imagem 3" descr="Integral Saude Logo">
          <a:extLst>
            <a:ext uri="{FF2B5EF4-FFF2-40B4-BE49-F238E27FC236}">
              <a16:creationId xmlns:a16="http://schemas.microsoft.com/office/drawing/2014/main" id="{8AE98DDC-25D8-4525-BEA6-653FDA7D6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253340" y="10396998"/>
          <a:ext cx="2456019" cy="1073028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527568</xdr:colOff>
      <xdr:row>72</xdr:row>
      <xdr:rowOff>105251</xdr:rowOff>
    </xdr:from>
    <xdr:ext cx="827844" cy="2563454"/>
    <xdr:pic>
      <xdr:nvPicPr>
        <xdr:cNvPr id="5" name="Imagem 4" descr="HealthMed">
          <a:extLst>
            <a:ext uri="{FF2B5EF4-FFF2-40B4-BE49-F238E27FC236}">
              <a16:creationId xmlns:a16="http://schemas.microsoft.com/office/drawing/2014/main" id="{1DA34D1A-2875-46DC-A69B-B41888876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340237" y="14140416"/>
          <a:ext cx="2563454" cy="827844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439582</xdr:colOff>
      <xdr:row>90</xdr:row>
      <xdr:rowOff>150971</xdr:rowOff>
    </xdr:from>
    <xdr:ext cx="1142048" cy="1392079"/>
    <xdr:pic>
      <xdr:nvPicPr>
        <xdr:cNvPr id="6" name="Imagem 5" descr="Notredame Intermédica">
          <a:extLst>
            <a:ext uri="{FF2B5EF4-FFF2-40B4-BE49-F238E27FC236}">
              <a16:creationId xmlns:a16="http://schemas.microsoft.com/office/drawing/2014/main" id="{96E8AC23-FA23-4601-A3A4-E786008159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314566" y="16735187"/>
          <a:ext cx="1392079" cy="1142048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481162</xdr:colOff>
      <xdr:row>128</xdr:row>
      <xdr:rowOff>134780</xdr:rowOff>
    </xdr:from>
    <xdr:ext cx="718466" cy="4088131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D220ABA-8858-4C85-BB33-1B4099981F4A}"/>
            </a:ext>
          </a:extLst>
        </xdr:cNvPr>
        <xdr:cNvSpPr/>
      </xdr:nvSpPr>
      <xdr:spPr>
        <a:xfrm rot="16200000">
          <a:off x="-563591" y="25228253"/>
          <a:ext cx="4088131" cy="718466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pt-BR" sz="40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CONSOLIDADO</a:t>
          </a:r>
          <a:r>
            <a:rPr lang="pt-BR" sz="40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</a:p>
      </xdr:txBody>
    </xdr:sp>
    <xdr:clientData/>
  </xdr:oneCellAnchor>
  <xdr:oneCellAnchor>
    <xdr:from>
      <xdr:col>0</xdr:col>
      <xdr:colOff>38101</xdr:colOff>
      <xdr:row>127</xdr:row>
      <xdr:rowOff>3809</xdr:rowOff>
    </xdr:from>
    <xdr:ext cx="1287249" cy="828198"/>
    <xdr:pic>
      <xdr:nvPicPr>
        <xdr:cNvPr id="8" name="Imagem 7" descr="logo Qv Saúde Benefícios">
          <a:extLst>
            <a:ext uri="{FF2B5EF4-FFF2-40B4-BE49-F238E27FC236}">
              <a16:creationId xmlns:a16="http://schemas.microsoft.com/office/drawing/2014/main" id="{96BBCBBF-6E2C-4834-BF98-93904A104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1" y="23229569"/>
          <a:ext cx="1287249" cy="8281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120968</xdr:colOff>
      <xdr:row>0</xdr:row>
      <xdr:rowOff>35721</xdr:rowOff>
    </xdr:from>
    <xdr:ext cx="1726881" cy="1174099"/>
    <xdr:pic>
      <xdr:nvPicPr>
        <xdr:cNvPr id="9" name="Imagem 8" descr="logo Qv Saúde Benefícios">
          <a:extLst>
            <a:ext uri="{FF2B5EF4-FFF2-40B4-BE49-F238E27FC236}">
              <a16:creationId xmlns:a16="http://schemas.microsoft.com/office/drawing/2014/main" id="{53458309-72EF-4581-838A-FE13076C9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968" y="35721"/>
          <a:ext cx="1726881" cy="11740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0</xdr:colOff>
      <xdr:row>0</xdr:row>
      <xdr:rowOff>0</xdr:rowOff>
    </xdr:from>
    <xdr:ext cx="3862817" cy="770617"/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1142319E-778D-44AE-B050-73365B4F44E5}"/>
            </a:ext>
          </a:extLst>
        </xdr:cNvPr>
        <xdr:cNvSpPr/>
      </xdr:nvSpPr>
      <xdr:spPr>
        <a:xfrm>
          <a:off x="2560320" y="0"/>
          <a:ext cx="3862817" cy="77061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pt-BR" sz="44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INDICADORES</a:t>
          </a:r>
          <a:r>
            <a:rPr lang="pt-BR" sz="4400" b="0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</a:p>
        <a:p>
          <a:pPr algn="l"/>
          <a:r>
            <a:rPr lang="pt-BR" sz="1800" b="0" i="1" u="none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Consolidado</a:t>
          </a:r>
          <a:r>
            <a:rPr lang="pt-BR" sz="36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36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2021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366640</xdr:colOff>
      <xdr:row>12</xdr:row>
      <xdr:rowOff>35716</xdr:rowOff>
    </xdr:from>
    <xdr:ext cx="1330239" cy="2743653"/>
    <xdr:pic>
      <xdr:nvPicPr>
        <xdr:cNvPr id="2" name="Imagem 1">
          <a:extLst>
            <a:ext uri="{FF2B5EF4-FFF2-40B4-BE49-F238E27FC236}">
              <a16:creationId xmlns:a16="http://schemas.microsoft.com/office/drawing/2014/main" id="{6FB7ACDE-6AAB-4E40-A1D9-97354D2B5D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68" b="37304"/>
        <a:stretch/>
      </xdr:blipFill>
      <xdr:spPr>
        <a:xfrm rot="16200000">
          <a:off x="-340067" y="2936983"/>
          <a:ext cx="2743653" cy="1330239"/>
        </a:xfrm>
        <a:prstGeom prst="rect">
          <a:avLst/>
        </a:prstGeom>
      </xdr:spPr>
    </xdr:pic>
    <xdr:clientData/>
  </xdr:oneCellAnchor>
  <xdr:oneCellAnchor>
    <xdr:from>
      <xdr:col>4</xdr:col>
      <xdr:colOff>163876</xdr:colOff>
      <xdr:row>0</xdr:row>
      <xdr:rowOff>77629</xdr:rowOff>
    </xdr:from>
    <xdr:ext cx="3862817" cy="770617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ECFF68B9-23F7-4BE1-ACE0-DA7657EC94DB}"/>
            </a:ext>
          </a:extLst>
        </xdr:cNvPr>
        <xdr:cNvSpPr/>
      </xdr:nvSpPr>
      <xdr:spPr>
        <a:xfrm>
          <a:off x="2724196" y="77629"/>
          <a:ext cx="3862817" cy="77061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pt-BR" sz="44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INDICADORES</a:t>
          </a:r>
          <a:r>
            <a:rPr lang="pt-BR" sz="4400" b="0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</a:p>
        <a:p>
          <a:pPr algn="l"/>
          <a:r>
            <a:rPr lang="pt-BR" sz="1800" b="0" i="1" u="none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Consolidado</a:t>
          </a:r>
          <a:r>
            <a:rPr lang="pt-BR" sz="36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36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2022</a:t>
          </a:r>
        </a:p>
      </xdr:txBody>
    </xdr:sp>
    <xdr:clientData/>
  </xdr:oneCellAnchor>
  <xdr:oneCellAnchor>
    <xdr:from>
      <xdr:col>0</xdr:col>
      <xdr:colOff>124777</xdr:colOff>
      <xdr:row>0</xdr:row>
      <xdr:rowOff>35721</xdr:rowOff>
    </xdr:from>
    <xdr:ext cx="1569387" cy="1054891"/>
    <xdr:pic>
      <xdr:nvPicPr>
        <xdr:cNvPr id="4" name="Imagem 3" descr="logo Qv Saúde Benefícios">
          <a:extLst>
            <a:ext uri="{FF2B5EF4-FFF2-40B4-BE49-F238E27FC236}">
              <a16:creationId xmlns:a16="http://schemas.microsoft.com/office/drawing/2014/main" id="{E7E55B23-ABD5-41F8-BCAD-14F0273FE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" y="35721"/>
          <a:ext cx="1569387" cy="10548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327660</xdr:colOff>
      <xdr:row>5</xdr:row>
      <xdr:rowOff>166688</xdr:rowOff>
    </xdr:from>
    <xdr:ext cx="917575" cy="387441"/>
    <xdr:pic>
      <xdr:nvPicPr>
        <xdr:cNvPr id="5" name="Imagem 4">
          <a:extLst>
            <a:ext uri="{FF2B5EF4-FFF2-40B4-BE49-F238E27FC236}">
              <a16:creationId xmlns:a16="http://schemas.microsoft.com/office/drawing/2014/main" id="{F6B3EF55-0718-4E0C-B648-D195B61CF6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16" b="19069"/>
        <a:stretch/>
      </xdr:blipFill>
      <xdr:spPr>
        <a:xfrm>
          <a:off x="967740" y="1081088"/>
          <a:ext cx="917575" cy="387441"/>
        </a:xfrm>
        <a:prstGeom prst="rect">
          <a:avLst/>
        </a:prstGeom>
      </xdr:spPr>
    </xdr:pic>
    <xdr:clientData/>
  </xdr:oneCellAnchor>
  <xdr:oneCellAnchor>
    <xdr:from>
      <xdr:col>0</xdr:col>
      <xdr:colOff>301943</xdr:colOff>
      <xdr:row>35</xdr:row>
      <xdr:rowOff>97631</xdr:rowOff>
    </xdr:from>
    <xdr:ext cx="1206343" cy="2632157"/>
    <xdr:pic>
      <xdr:nvPicPr>
        <xdr:cNvPr id="6" name="Imagem 5" descr="ASSIM SAÚDE">
          <a:extLst>
            <a:ext uri="{FF2B5EF4-FFF2-40B4-BE49-F238E27FC236}">
              <a16:creationId xmlns:a16="http://schemas.microsoft.com/office/drawing/2014/main" id="{F2223513-AD47-4D5E-945D-FC65831F8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410964" y="7211338"/>
          <a:ext cx="2632157" cy="1206343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445773</xdr:colOff>
      <xdr:row>58</xdr:row>
      <xdr:rowOff>82393</xdr:rowOff>
    </xdr:from>
    <xdr:ext cx="1153476" cy="2622020"/>
    <xdr:pic>
      <xdr:nvPicPr>
        <xdr:cNvPr id="7" name="Imagem 6" descr="Integral Saude Logo">
          <a:extLst>
            <a:ext uri="{FF2B5EF4-FFF2-40B4-BE49-F238E27FC236}">
              <a16:creationId xmlns:a16="http://schemas.microsoft.com/office/drawing/2014/main" id="{CDE7C7AC-AED6-4CB2-9E8B-A27A435B52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288499" y="11423705"/>
          <a:ext cx="2622020" cy="1153476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527686</xdr:colOff>
      <xdr:row>81</xdr:row>
      <xdr:rowOff>6862</xdr:rowOff>
    </xdr:from>
    <xdr:ext cx="902972" cy="1440938"/>
    <xdr:pic>
      <xdr:nvPicPr>
        <xdr:cNvPr id="8" name="Imagem 7" descr="HealthMed">
          <a:extLst>
            <a:ext uri="{FF2B5EF4-FFF2-40B4-BE49-F238E27FC236}">
              <a16:creationId xmlns:a16="http://schemas.microsoft.com/office/drawing/2014/main" id="{A582865D-1208-4526-9CD8-CC5693FAA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58703" y="15089125"/>
          <a:ext cx="1440938" cy="902972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446249</xdr:colOff>
      <xdr:row>118</xdr:row>
      <xdr:rowOff>113824</xdr:rowOff>
    </xdr:from>
    <xdr:ext cx="1138238" cy="1505426"/>
    <xdr:pic>
      <xdr:nvPicPr>
        <xdr:cNvPr id="9" name="Imagem 8" descr="Notredame Intermédica">
          <a:extLst>
            <a:ext uri="{FF2B5EF4-FFF2-40B4-BE49-F238E27FC236}">
              <a16:creationId xmlns:a16="http://schemas.microsoft.com/office/drawing/2014/main" id="{910738DA-46E1-4807-A989-BB7FFAD66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62655" y="21877258"/>
          <a:ext cx="1505426" cy="1138238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367541</xdr:colOff>
      <xdr:row>156</xdr:row>
      <xdr:rowOff>158822</xdr:rowOff>
    </xdr:from>
    <xdr:ext cx="1144324" cy="1469953"/>
    <xdr:pic>
      <xdr:nvPicPr>
        <xdr:cNvPr id="10" name="Imagem 9">
          <a:extLst>
            <a:ext uri="{FF2B5EF4-FFF2-40B4-BE49-F238E27FC236}">
              <a16:creationId xmlns:a16="http://schemas.microsoft.com/office/drawing/2014/main" id="{C983A4F8-70A1-48C9-B9AF-59777E32B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204726" y="28850917"/>
          <a:ext cx="1469953" cy="1144324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552650</xdr:colOff>
      <xdr:row>231</xdr:row>
      <xdr:rowOff>156022</xdr:rowOff>
    </xdr:from>
    <xdr:ext cx="655885" cy="3419474"/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BC6DF777-A1EA-475D-9E15-55E3458155A2}"/>
            </a:ext>
          </a:extLst>
        </xdr:cNvPr>
        <xdr:cNvSpPr/>
      </xdr:nvSpPr>
      <xdr:spPr>
        <a:xfrm rot="16200000">
          <a:off x="-189064" y="43783096"/>
          <a:ext cx="3419474" cy="65588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pt-BR" sz="36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CONSOLIDADO</a:t>
          </a:r>
          <a:r>
            <a:rPr lang="pt-BR" sz="36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</a:p>
      </xdr:txBody>
    </xdr:sp>
    <xdr:clientData/>
  </xdr:oneCellAnchor>
  <xdr:oneCellAnchor>
    <xdr:from>
      <xdr:col>0</xdr:col>
      <xdr:colOff>57626</xdr:colOff>
      <xdr:row>283</xdr:row>
      <xdr:rowOff>143830</xdr:rowOff>
    </xdr:from>
    <xdr:ext cx="1268199" cy="851056"/>
    <xdr:pic>
      <xdr:nvPicPr>
        <xdr:cNvPr id="12" name="Imagem 11" descr="logo Qv Saúde Benefícios">
          <a:extLst>
            <a:ext uri="{FF2B5EF4-FFF2-40B4-BE49-F238E27FC236}">
              <a16:creationId xmlns:a16="http://schemas.microsoft.com/office/drawing/2014/main" id="{C93DCB57-16AF-4E79-A491-1A9EBF4D3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" y="51898870"/>
          <a:ext cx="1268199" cy="8510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304805</xdr:colOff>
      <xdr:row>194</xdr:row>
      <xdr:rowOff>152876</xdr:rowOff>
    </xdr:from>
    <xdr:ext cx="1292064" cy="1294924"/>
    <xdr:pic>
      <xdr:nvPicPr>
        <xdr:cNvPr id="13" name="Imagem 12">
          <a:extLst>
            <a:ext uri="{FF2B5EF4-FFF2-40B4-BE49-F238E27FC236}">
              <a16:creationId xmlns:a16="http://schemas.microsoft.com/office/drawing/2014/main" id="{2DAD50A8-C6C2-4FE7-B290-F463126B4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303375" y="35633026"/>
          <a:ext cx="1294924" cy="129206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366640</xdr:colOff>
      <xdr:row>13</xdr:row>
      <xdr:rowOff>35716</xdr:rowOff>
    </xdr:from>
    <xdr:ext cx="1555029" cy="2955108"/>
    <xdr:pic>
      <xdr:nvPicPr>
        <xdr:cNvPr id="2" name="Imagem 1">
          <a:extLst>
            <a:ext uri="{FF2B5EF4-FFF2-40B4-BE49-F238E27FC236}">
              <a16:creationId xmlns:a16="http://schemas.microsoft.com/office/drawing/2014/main" id="{8BE2B6E7-C191-4D45-9898-5F094E78C8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68" b="37304"/>
        <a:stretch/>
      </xdr:blipFill>
      <xdr:spPr>
        <a:xfrm rot="16200000">
          <a:off x="-333399" y="3113195"/>
          <a:ext cx="2955108" cy="1555029"/>
        </a:xfrm>
        <a:prstGeom prst="rect">
          <a:avLst/>
        </a:prstGeom>
      </xdr:spPr>
    </xdr:pic>
    <xdr:clientData/>
  </xdr:oneCellAnchor>
  <xdr:oneCellAnchor>
    <xdr:from>
      <xdr:col>4</xdr:col>
      <xdr:colOff>163876</xdr:colOff>
      <xdr:row>0</xdr:row>
      <xdr:rowOff>77629</xdr:rowOff>
    </xdr:from>
    <xdr:ext cx="3862817" cy="770617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C654ABF9-389C-41D2-9BFF-482E028E059A}"/>
            </a:ext>
          </a:extLst>
        </xdr:cNvPr>
        <xdr:cNvSpPr/>
      </xdr:nvSpPr>
      <xdr:spPr>
        <a:xfrm>
          <a:off x="3973876" y="77629"/>
          <a:ext cx="3862817" cy="77061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pt-BR" sz="44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INDICADORES</a:t>
          </a:r>
          <a:r>
            <a:rPr lang="pt-BR" sz="4400" b="0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</a:p>
        <a:p>
          <a:pPr algn="l"/>
          <a:r>
            <a:rPr lang="pt-BR" sz="1800" b="0" i="1" u="none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Consolidado</a:t>
          </a:r>
          <a:r>
            <a:rPr lang="pt-BR" sz="36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36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2023</a:t>
          </a:r>
        </a:p>
      </xdr:txBody>
    </xdr:sp>
    <xdr:clientData/>
  </xdr:oneCellAnchor>
  <xdr:oneCellAnchor>
    <xdr:from>
      <xdr:col>0</xdr:col>
      <xdr:colOff>124777</xdr:colOff>
      <xdr:row>0</xdr:row>
      <xdr:rowOff>35721</xdr:rowOff>
    </xdr:from>
    <xdr:ext cx="1796082" cy="1066321"/>
    <xdr:pic>
      <xdr:nvPicPr>
        <xdr:cNvPr id="4" name="Imagem 3" descr="logo Qv Saúde Benefícios">
          <a:extLst>
            <a:ext uri="{FF2B5EF4-FFF2-40B4-BE49-F238E27FC236}">
              <a16:creationId xmlns:a16="http://schemas.microsoft.com/office/drawing/2014/main" id="{10BF3EDC-322A-46A9-B339-6F6EC25D8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" y="35721"/>
          <a:ext cx="1796082" cy="10663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327660</xdr:colOff>
      <xdr:row>5</xdr:row>
      <xdr:rowOff>166688</xdr:rowOff>
    </xdr:from>
    <xdr:ext cx="1098550" cy="396966"/>
    <xdr:pic>
      <xdr:nvPicPr>
        <xdr:cNvPr id="5" name="Imagem 4">
          <a:extLst>
            <a:ext uri="{FF2B5EF4-FFF2-40B4-BE49-F238E27FC236}">
              <a16:creationId xmlns:a16="http://schemas.microsoft.com/office/drawing/2014/main" id="{C59F5536-9DEC-4BD8-AA9D-56DF58F26BF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16" b="19069"/>
        <a:stretch/>
      </xdr:blipFill>
      <xdr:spPr>
        <a:xfrm>
          <a:off x="1280160" y="1081088"/>
          <a:ext cx="1098550" cy="396966"/>
        </a:xfrm>
        <a:prstGeom prst="rect">
          <a:avLst/>
        </a:prstGeom>
      </xdr:spPr>
    </xdr:pic>
    <xdr:clientData/>
  </xdr:oneCellAnchor>
  <xdr:oneCellAnchor>
    <xdr:from>
      <xdr:col>0</xdr:col>
      <xdr:colOff>301943</xdr:colOff>
      <xdr:row>36</xdr:row>
      <xdr:rowOff>97631</xdr:rowOff>
    </xdr:from>
    <xdr:ext cx="1394938" cy="2839802"/>
    <xdr:pic>
      <xdr:nvPicPr>
        <xdr:cNvPr id="6" name="Imagem 5" descr="ASSIM SAÚDE">
          <a:extLst>
            <a:ext uri="{FF2B5EF4-FFF2-40B4-BE49-F238E27FC236}">
              <a16:creationId xmlns:a16="http://schemas.microsoft.com/office/drawing/2014/main" id="{C0AE4195-3D33-475D-9F88-49D045377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420489" y="7403743"/>
          <a:ext cx="2839802" cy="1394938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445773</xdr:colOff>
      <xdr:row>58</xdr:row>
      <xdr:rowOff>82393</xdr:rowOff>
    </xdr:from>
    <xdr:ext cx="1326831" cy="2833475"/>
    <xdr:pic>
      <xdr:nvPicPr>
        <xdr:cNvPr id="7" name="Imagem 6" descr="Integral Saude Logo">
          <a:extLst>
            <a:ext uri="{FF2B5EF4-FFF2-40B4-BE49-F238E27FC236}">
              <a16:creationId xmlns:a16="http://schemas.microsoft.com/office/drawing/2014/main" id="{802A8A48-B340-4FCD-B869-B38F7FA13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307549" y="11442755"/>
          <a:ext cx="2833475" cy="1326831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527686</xdr:colOff>
      <xdr:row>81</xdr:row>
      <xdr:rowOff>6862</xdr:rowOff>
    </xdr:from>
    <xdr:ext cx="1097282" cy="2909693"/>
    <xdr:pic>
      <xdr:nvPicPr>
        <xdr:cNvPr id="8" name="Imagem 7" descr="HealthMed">
          <a:extLst>
            <a:ext uri="{FF2B5EF4-FFF2-40B4-BE49-F238E27FC236}">
              <a16:creationId xmlns:a16="http://schemas.microsoft.com/office/drawing/2014/main" id="{C018A8B7-F85B-49C4-B387-6F3A3EBD2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378520" y="15726348"/>
          <a:ext cx="2909693" cy="1097282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446249</xdr:colOff>
      <xdr:row>102</xdr:row>
      <xdr:rowOff>113824</xdr:rowOff>
    </xdr:from>
    <xdr:ext cx="1332548" cy="3084290"/>
    <xdr:pic>
      <xdr:nvPicPr>
        <xdr:cNvPr id="9" name="Imagem 8" descr="Notredame Intermédica">
          <a:extLst>
            <a:ext uri="{FF2B5EF4-FFF2-40B4-BE49-F238E27FC236}">
              <a16:creationId xmlns:a16="http://schemas.microsoft.com/office/drawing/2014/main" id="{E73B5108-63B5-4435-84AC-EC786C2C2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429622" y="19643455"/>
          <a:ext cx="3084290" cy="1332548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367541</xdr:colOff>
      <xdr:row>125</xdr:row>
      <xdr:rowOff>158822</xdr:rowOff>
    </xdr:from>
    <xdr:ext cx="1329109" cy="2975992"/>
    <xdr:pic>
      <xdr:nvPicPr>
        <xdr:cNvPr id="10" name="Imagem 9">
          <a:extLst>
            <a:ext uri="{FF2B5EF4-FFF2-40B4-BE49-F238E27FC236}">
              <a16:creationId xmlns:a16="http://schemas.microsoft.com/office/drawing/2014/main" id="{04F082E7-C434-44E3-90FD-8B7D9392F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455900" y="23842263"/>
          <a:ext cx="2975992" cy="1329109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510743</xdr:colOff>
      <xdr:row>192</xdr:row>
      <xdr:rowOff>109829</xdr:rowOff>
    </xdr:from>
    <xdr:ext cx="655885" cy="3419474"/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C90DCCCD-EFE3-4258-BB26-FD5D3D5C49D5}"/>
            </a:ext>
          </a:extLst>
        </xdr:cNvPr>
        <xdr:cNvSpPr/>
      </xdr:nvSpPr>
      <xdr:spPr>
        <a:xfrm rot="16200000">
          <a:off x="81449" y="36604583"/>
          <a:ext cx="3419474" cy="65588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pt-BR" sz="36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CONSOLIDADO</a:t>
          </a:r>
          <a:r>
            <a:rPr lang="pt-BR" sz="36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</a:p>
      </xdr:txBody>
    </xdr:sp>
    <xdr:clientData/>
  </xdr:oneCellAnchor>
  <xdr:oneCellAnchor>
    <xdr:from>
      <xdr:col>0</xdr:col>
      <xdr:colOff>0</xdr:colOff>
      <xdr:row>206</xdr:row>
      <xdr:rowOff>115255</xdr:rowOff>
    </xdr:from>
    <xdr:ext cx="1430124" cy="845343"/>
    <xdr:pic>
      <xdr:nvPicPr>
        <xdr:cNvPr id="12" name="Imagem 11" descr="logo Qv Saúde Benefícios">
          <a:extLst>
            <a:ext uri="{FF2B5EF4-FFF2-40B4-BE49-F238E27FC236}">
              <a16:creationId xmlns:a16="http://schemas.microsoft.com/office/drawing/2014/main" id="{97CD33B0-6461-4A07-988B-149DC9E4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88535"/>
          <a:ext cx="1430124" cy="845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304805</xdr:colOff>
      <xdr:row>219</xdr:row>
      <xdr:rowOff>152876</xdr:rowOff>
    </xdr:from>
    <xdr:ext cx="1467324" cy="2582704"/>
    <xdr:pic>
      <xdr:nvPicPr>
        <xdr:cNvPr id="13" name="Imagem 12">
          <a:extLst>
            <a:ext uri="{FF2B5EF4-FFF2-40B4-BE49-F238E27FC236}">
              <a16:creationId xmlns:a16="http://schemas.microsoft.com/office/drawing/2014/main" id="{95445574-95AA-4035-8822-BB620C202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252885" y="40761286"/>
          <a:ext cx="2582704" cy="1467324"/>
        </a:xfrm>
        <a:prstGeom prst="rect">
          <a:avLst/>
        </a:prstGeom>
      </xdr:spPr>
    </xdr:pic>
    <xdr:clientData/>
  </xdr:oneCellAnchor>
  <xdr:oneCellAnchor>
    <xdr:from>
      <xdr:col>0</xdr:col>
      <xdr:colOff>519590</xdr:colOff>
      <xdr:row>153</xdr:row>
      <xdr:rowOff>117634</xdr:rowOff>
    </xdr:from>
    <xdr:ext cx="1101282" cy="1532572"/>
    <xdr:pic>
      <xdr:nvPicPr>
        <xdr:cNvPr id="14" name="Gráfico 13">
          <a:extLst>
            <a:ext uri="{FF2B5EF4-FFF2-40B4-BE49-F238E27FC236}">
              <a16:creationId xmlns:a16="http://schemas.microsoft.com/office/drawing/2014/main" id="{4AE323A1-FF6A-46EF-9949-6794B3B40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rot="16200000">
          <a:off x="303945" y="28313919"/>
          <a:ext cx="1532572" cy="1101282"/>
        </a:xfrm>
        <a:prstGeom prst="rect">
          <a:avLst/>
        </a:prstGeom>
      </xdr:spPr>
    </xdr:pic>
    <xdr:clientData/>
  </xdr:oneCellAnchor>
  <xdr:oneCellAnchor>
    <xdr:from>
      <xdr:col>1</xdr:col>
      <xdr:colOff>552650</xdr:colOff>
      <xdr:row>253</xdr:row>
      <xdr:rowOff>156022</xdr:rowOff>
    </xdr:from>
    <xdr:ext cx="655885" cy="3419474"/>
    <xdr:sp macro="" textlink="">
      <xdr:nvSpPr>
        <xdr:cNvPr id="15" name="Retângulo 14">
          <a:extLst>
            <a:ext uri="{FF2B5EF4-FFF2-40B4-BE49-F238E27FC236}">
              <a16:creationId xmlns:a16="http://schemas.microsoft.com/office/drawing/2014/main" id="{490037AF-E4D0-40B8-841E-A4D5187AFBCF}"/>
            </a:ext>
          </a:extLst>
        </xdr:cNvPr>
        <xdr:cNvSpPr/>
      </xdr:nvSpPr>
      <xdr:spPr>
        <a:xfrm rot="16200000">
          <a:off x="123356" y="47806456"/>
          <a:ext cx="3419474" cy="65588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pt-BR" sz="36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CONSOLIDADO</a:t>
          </a:r>
          <a:r>
            <a:rPr lang="pt-BR" sz="36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</a:p>
      </xdr:txBody>
    </xdr:sp>
    <xdr:clientData/>
  </xdr:oneCellAnchor>
  <xdr:oneCellAnchor>
    <xdr:from>
      <xdr:col>0</xdr:col>
      <xdr:colOff>57626</xdr:colOff>
      <xdr:row>305</xdr:row>
      <xdr:rowOff>143830</xdr:rowOff>
    </xdr:from>
    <xdr:ext cx="1456794" cy="854866"/>
    <xdr:pic>
      <xdr:nvPicPr>
        <xdr:cNvPr id="16" name="Imagem 15" descr="logo Qv Saúde Benefícios">
          <a:extLst>
            <a:ext uri="{FF2B5EF4-FFF2-40B4-BE49-F238E27FC236}">
              <a16:creationId xmlns:a16="http://schemas.microsoft.com/office/drawing/2014/main" id="{ED9A2A36-15EE-491E-BD18-B78692701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626" y="55922230"/>
          <a:ext cx="1456794" cy="85486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495248</xdr:colOff>
      <xdr:row>175</xdr:row>
      <xdr:rowOff>52</xdr:rowOff>
    </xdr:from>
    <xdr:ext cx="1011451" cy="1687622"/>
    <xdr:pic>
      <xdr:nvPicPr>
        <xdr:cNvPr id="17" name="Imagem 16">
          <a:extLst>
            <a:ext uri="{FF2B5EF4-FFF2-40B4-BE49-F238E27FC236}">
              <a16:creationId xmlns:a16="http://schemas.microsoft.com/office/drawing/2014/main" id="{D7AA0654-630A-498E-9AED-352E489EE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157163" y="32342137"/>
          <a:ext cx="1687622" cy="1011451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366640</xdr:colOff>
      <xdr:row>13</xdr:row>
      <xdr:rowOff>35716</xdr:rowOff>
    </xdr:from>
    <xdr:ext cx="1571277" cy="2928849"/>
    <xdr:pic>
      <xdr:nvPicPr>
        <xdr:cNvPr id="2" name="Imagem 1">
          <a:extLst>
            <a:ext uri="{FF2B5EF4-FFF2-40B4-BE49-F238E27FC236}">
              <a16:creationId xmlns:a16="http://schemas.microsoft.com/office/drawing/2014/main" id="{0F38897A-4775-4E77-90A8-B68A147308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68" b="37304"/>
        <a:stretch/>
      </xdr:blipFill>
      <xdr:spPr>
        <a:xfrm rot="16200000">
          <a:off x="-312146" y="3091942"/>
          <a:ext cx="2928849" cy="1571277"/>
        </a:xfrm>
        <a:prstGeom prst="rect">
          <a:avLst/>
        </a:prstGeom>
      </xdr:spPr>
    </xdr:pic>
    <xdr:clientData/>
  </xdr:oneCellAnchor>
  <xdr:oneCellAnchor>
    <xdr:from>
      <xdr:col>4</xdr:col>
      <xdr:colOff>163876</xdr:colOff>
      <xdr:row>0</xdr:row>
      <xdr:rowOff>77629</xdr:rowOff>
    </xdr:from>
    <xdr:ext cx="3862817" cy="770617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7250442-A4DB-4C2D-A1EF-90B9AA5C5CCC}"/>
            </a:ext>
          </a:extLst>
        </xdr:cNvPr>
        <xdr:cNvSpPr/>
      </xdr:nvSpPr>
      <xdr:spPr>
        <a:xfrm>
          <a:off x="2724196" y="77629"/>
          <a:ext cx="3862817" cy="77061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pt-BR" sz="44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INDICADORES</a:t>
          </a:r>
          <a:r>
            <a:rPr lang="pt-BR" sz="4400" b="0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</a:p>
        <a:p>
          <a:pPr algn="l"/>
          <a:r>
            <a:rPr lang="pt-BR" sz="1800" b="0" i="1" u="none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Consolidado</a:t>
          </a:r>
          <a:r>
            <a:rPr lang="pt-BR" sz="36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36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2024</a:t>
          </a:r>
        </a:p>
      </xdr:txBody>
    </xdr:sp>
    <xdr:clientData/>
  </xdr:oneCellAnchor>
  <xdr:oneCellAnchor>
    <xdr:from>
      <xdr:col>0</xdr:col>
      <xdr:colOff>124777</xdr:colOff>
      <xdr:row>0</xdr:row>
      <xdr:rowOff>35721</xdr:rowOff>
    </xdr:from>
    <xdr:ext cx="1813600" cy="1059411"/>
    <xdr:pic>
      <xdr:nvPicPr>
        <xdr:cNvPr id="4" name="Imagem 3" descr="logo Qv Saúde Benefícios">
          <a:extLst>
            <a:ext uri="{FF2B5EF4-FFF2-40B4-BE49-F238E27FC236}">
              <a16:creationId xmlns:a16="http://schemas.microsoft.com/office/drawing/2014/main" id="{31301E52-69E9-4CD1-A4CC-C76073E79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" y="35721"/>
          <a:ext cx="1813600" cy="1059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327660</xdr:colOff>
      <xdr:row>5</xdr:row>
      <xdr:rowOff>166688</xdr:rowOff>
    </xdr:from>
    <xdr:ext cx="1088688" cy="390018"/>
    <xdr:pic>
      <xdr:nvPicPr>
        <xdr:cNvPr id="5" name="Imagem 4">
          <a:extLst>
            <a:ext uri="{FF2B5EF4-FFF2-40B4-BE49-F238E27FC236}">
              <a16:creationId xmlns:a16="http://schemas.microsoft.com/office/drawing/2014/main" id="{73E68166-DCF9-4A50-BE53-953E44091B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16" b="19069"/>
        <a:stretch/>
      </xdr:blipFill>
      <xdr:spPr>
        <a:xfrm>
          <a:off x="967740" y="1081088"/>
          <a:ext cx="1088688" cy="390018"/>
        </a:xfrm>
        <a:prstGeom prst="rect">
          <a:avLst/>
        </a:prstGeom>
      </xdr:spPr>
    </xdr:pic>
    <xdr:clientData/>
  </xdr:oneCellAnchor>
  <xdr:oneCellAnchor>
    <xdr:from>
      <xdr:col>0</xdr:col>
      <xdr:colOff>301943</xdr:colOff>
      <xdr:row>36</xdr:row>
      <xdr:rowOff>97631</xdr:rowOff>
    </xdr:from>
    <xdr:ext cx="1391576" cy="2812908"/>
    <xdr:pic>
      <xdr:nvPicPr>
        <xdr:cNvPr id="6" name="Imagem 5" descr="ASSIM SAÚDE">
          <a:extLst>
            <a:ext uri="{FF2B5EF4-FFF2-40B4-BE49-F238E27FC236}">
              <a16:creationId xmlns:a16="http://schemas.microsoft.com/office/drawing/2014/main" id="{F73A43EC-5C78-44B6-BA0C-46997594D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408723" y="7391977"/>
          <a:ext cx="2812908" cy="1391576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445773</xdr:colOff>
      <xdr:row>58</xdr:row>
      <xdr:rowOff>82393</xdr:rowOff>
    </xdr:from>
    <xdr:ext cx="1323469" cy="2805945"/>
    <xdr:pic>
      <xdr:nvPicPr>
        <xdr:cNvPr id="7" name="Imagem 6" descr="Integral Saude Logo">
          <a:extLst>
            <a:ext uri="{FF2B5EF4-FFF2-40B4-BE49-F238E27FC236}">
              <a16:creationId xmlns:a16="http://schemas.microsoft.com/office/drawing/2014/main" id="{94F0ED0C-E007-45BD-A129-7F8CB8A01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295465" y="11430671"/>
          <a:ext cx="2805945" cy="1323469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527686</xdr:colOff>
      <xdr:row>81</xdr:row>
      <xdr:rowOff>6862</xdr:rowOff>
    </xdr:from>
    <xdr:ext cx="1106620" cy="2880894"/>
    <xdr:pic>
      <xdr:nvPicPr>
        <xdr:cNvPr id="8" name="Imagem 7" descr="HealthMed">
          <a:extLst>
            <a:ext uri="{FF2B5EF4-FFF2-40B4-BE49-F238E27FC236}">
              <a16:creationId xmlns:a16="http://schemas.microsoft.com/office/drawing/2014/main" id="{0D1B7D63-A5B4-4E37-99A4-BD9555429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359451" y="15707279"/>
          <a:ext cx="2880894" cy="110662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446249</xdr:colOff>
      <xdr:row>102</xdr:row>
      <xdr:rowOff>113824</xdr:rowOff>
    </xdr:from>
    <xdr:ext cx="1340616" cy="3067145"/>
    <xdr:pic>
      <xdr:nvPicPr>
        <xdr:cNvPr id="9" name="Imagem 8" descr="Notredame Intermédica">
          <a:extLst>
            <a:ext uri="{FF2B5EF4-FFF2-40B4-BE49-F238E27FC236}">
              <a16:creationId xmlns:a16="http://schemas.microsoft.com/office/drawing/2014/main" id="{6FFD7C3A-4EB7-4134-A0F5-5BBACDF1B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417016" y="19630849"/>
          <a:ext cx="3067145" cy="1340616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367541</xdr:colOff>
      <xdr:row>125</xdr:row>
      <xdr:rowOff>158822</xdr:rowOff>
    </xdr:from>
    <xdr:ext cx="1325747" cy="2946782"/>
    <xdr:pic>
      <xdr:nvPicPr>
        <xdr:cNvPr id="10" name="Imagem 9">
          <a:extLst>
            <a:ext uri="{FF2B5EF4-FFF2-40B4-BE49-F238E27FC236}">
              <a16:creationId xmlns:a16="http://schemas.microsoft.com/office/drawing/2014/main" id="{F46476D7-DDB4-4EA8-9C46-B99184FB4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442976" y="23829339"/>
          <a:ext cx="2946782" cy="1325747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155965</xdr:colOff>
      <xdr:row>233</xdr:row>
      <xdr:rowOff>0</xdr:rowOff>
    </xdr:from>
    <xdr:ext cx="655885" cy="3419474"/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55302DAF-06BC-4BC7-8F24-696C52E92355}"/>
            </a:ext>
          </a:extLst>
        </xdr:cNvPr>
        <xdr:cNvSpPr/>
      </xdr:nvSpPr>
      <xdr:spPr>
        <a:xfrm rot="16200000">
          <a:off x="54331" y="43992834"/>
          <a:ext cx="3419474" cy="65588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pt-BR" sz="36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CONSOLIDADO</a:t>
          </a:r>
          <a:r>
            <a:rPr lang="pt-BR" sz="36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</a:p>
      </xdr:txBody>
    </xdr:sp>
    <xdr:clientData/>
  </xdr:oneCellAnchor>
  <xdr:oneCellAnchor>
    <xdr:from>
      <xdr:col>0</xdr:col>
      <xdr:colOff>0</xdr:colOff>
      <xdr:row>246</xdr:row>
      <xdr:rowOff>115255</xdr:rowOff>
    </xdr:from>
    <xdr:ext cx="1426762" cy="838841"/>
    <xdr:pic>
      <xdr:nvPicPr>
        <xdr:cNvPr id="12" name="Imagem 11" descr="logo Qv Saúde Benefícios">
          <a:extLst>
            <a:ext uri="{FF2B5EF4-FFF2-40B4-BE49-F238E27FC236}">
              <a16:creationId xmlns:a16="http://schemas.microsoft.com/office/drawing/2014/main" id="{070AAD79-FA7F-428A-977B-FEB945548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03735"/>
          <a:ext cx="1426762" cy="838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519590</xdr:colOff>
      <xdr:row>153</xdr:row>
      <xdr:rowOff>117634</xdr:rowOff>
    </xdr:from>
    <xdr:ext cx="1097920" cy="1515539"/>
    <xdr:pic>
      <xdr:nvPicPr>
        <xdr:cNvPr id="13" name="Gráfico 12">
          <a:extLst>
            <a:ext uri="{FF2B5EF4-FFF2-40B4-BE49-F238E27FC236}">
              <a16:creationId xmlns:a16="http://schemas.microsoft.com/office/drawing/2014/main" id="{7FA6C5E7-00E3-4B1D-8139-EAAE05D10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 rot="16200000">
          <a:off x="310780" y="28307084"/>
          <a:ext cx="1515539" cy="1097920"/>
        </a:xfrm>
        <a:prstGeom prst="rect">
          <a:avLst/>
        </a:prstGeom>
      </xdr:spPr>
    </xdr:pic>
    <xdr:clientData/>
  </xdr:oneCellAnchor>
  <xdr:oneCellAnchor>
    <xdr:from>
      <xdr:col>4</xdr:col>
      <xdr:colOff>163876</xdr:colOff>
      <xdr:row>0</xdr:row>
      <xdr:rowOff>77629</xdr:rowOff>
    </xdr:from>
    <xdr:ext cx="3862817" cy="770617"/>
    <xdr:sp macro="" textlink="">
      <xdr:nvSpPr>
        <xdr:cNvPr id="14" name="Retângulo 13">
          <a:extLst>
            <a:ext uri="{FF2B5EF4-FFF2-40B4-BE49-F238E27FC236}">
              <a16:creationId xmlns:a16="http://schemas.microsoft.com/office/drawing/2014/main" id="{11E4A3FD-8E52-46B4-94A0-6440187FF705}"/>
            </a:ext>
          </a:extLst>
        </xdr:cNvPr>
        <xdr:cNvSpPr/>
      </xdr:nvSpPr>
      <xdr:spPr>
        <a:xfrm>
          <a:off x="2724196" y="77629"/>
          <a:ext cx="3862817" cy="77061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pt-BR" sz="44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INDICADORES</a:t>
          </a:r>
          <a:r>
            <a:rPr lang="pt-BR" sz="4400" b="0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</a:p>
        <a:p>
          <a:pPr algn="l"/>
          <a:r>
            <a:rPr lang="pt-BR" sz="1800" b="0" i="1" u="none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Consolidado</a:t>
          </a:r>
          <a:r>
            <a:rPr lang="pt-BR" sz="36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36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2024</a:t>
          </a:r>
        </a:p>
      </xdr:txBody>
    </xdr:sp>
    <xdr:clientData/>
  </xdr:oneCellAnchor>
  <xdr:oneCellAnchor>
    <xdr:from>
      <xdr:col>0</xdr:col>
      <xdr:colOff>448498</xdr:colOff>
      <xdr:row>194</xdr:row>
      <xdr:rowOff>78931</xdr:rowOff>
    </xdr:from>
    <xdr:ext cx="1035889" cy="1931887"/>
    <xdr:pic>
      <xdr:nvPicPr>
        <xdr:cNvPr id="15" name="Imagem 14" descr="Logo Leve Saúde">
          <a:extLst>
            <a:ext uri="{FF2B5EF4-FFF2-40B4-BE49-F238E27FC236}">
              <a16:creationId xmlns:a16="http://schemas.microsoft.com/office/drawing/2014/main" id="{7D263266-4CDF-43D7-A91D-50E3A831E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499" y="36005650"/>
          <a:ext cx="1931887" cy="1035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244469</xdr:colOff>
      <xdr:row>212</xdr:row>
      <xdr:rowOff>100234</xdr:rowOff>
    </xdr:from>
    <xdr:ext cx="1730866" cy="3225784"/>
    <xdr:pic>
      <xdr:nvPicPr>
        <xdr:cNvPr id="16" name="Imagem 15">
          <a:extLst>
            <a:ext uri="{FF2B5EF4-FFF2-40B4-BE49-F238E27FC236}">
              <a16:creationId xmlns:a16="http://schemas.microsoft.com/office/drawing/2014/main" id="{B6AE2014-EC5E-45D7-A474-AC13DA369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-502990" y="39618253"/>
          <a:ext cx="3225784" cy="1730866"/>
        </a:xfrm>
        <a:prstGeom prst="rect">
          <a:avLst/>
        </a:prstGeom>
      </xdr:spPr>
    </xdr:pic>
    <xdr:clientData/>
  </xdr:oneCellAnchor>
  <xdr:oneCellAnchor>
    <xdr:from>
      <xdr:col>0</xdr:col>
      <xdr:colOff>495751</xdr:colOff>
      <xdr:row>255</xdr:row>
      <xdr:rowOff>123775</xdr:rowOff>
    </xdr:from>
    <xdr:ext cx="1172024" cy="2951049"/>
    <xdr:pic>
      <xdr:nvPicPr>
        <xdr:cNvPr id="17" name="Imagem 16" descr="Área do Cliente - Aesp Odonto">
          <a:extLst>
            <a:ext uri="{FF2B5EF4-FFF2-40B4-BE49-F238E27FC236}">
              <a16:creationId xmlns:a16="http://schemas.microsoft.com/office/drawing/2014/main" id="{FB9422C6-C7D6-4103-AA51-B546AD748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393762" y="47647688"/>
          <a:ext cx="2951049" cy="1172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605117</xdr:colOff>
      <xdr:row>173</xdr:row>
      <xdr:rowOff>145677</xdr:rowOff>
    </xdr:from>
    <xdr:ext cx="902841" cy="2217575"/>
    <xdr:pic>
      <xdr:nvPicPr>
        <xdr:cNvPr id="18" name="Imagem 17">
          <a:extLst>
            <a:ext uri="{FF2B5EF4-FFF2-40B4-BE49-F238E27FC236}">
              <a16:creationId xmlns:a16="http://schemas.microsoft.com/office/drawing/2014/main" id="{A7227AAF-D4ED-4823-8D1D-DDAA30E97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6200000">
          <a:off x="-52250" y="32441284"/>
          <a:ext cx="2217575" cy="902841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366640</xdr:colOff>
      <xdr:row>13</xdr:row>
      <xdr:rowOff>35716</xdr:rowOff>
    </xdr:from>
    <xdr:ext cx="1585222" cy="3078510"/>
    <xdr:pic>
      <xdr:nvPicPr>
        <xdr:cNvPr id="2" name="Imagem 1">
          <a:extLst>
            <a:ext uri="{FF2B5EF4-FFF2-40B4-BE49-F238E27FC236}">
              <a16:creationId xmlns:a16="http://schemas.microsoft.com/office/drawing/2014/main" id="{72C817C0-B0F5-47C2-9D09-BBDB5EFB6B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68" b="37304"/>
        <a:stretch/>
      </xdr:blipFill>
      <xdr:spPr>
        <a:xfrm rot="16200000">
          <a:off x="-380004" y="3159800"/>
          <a:ext cx="3078510" cy="1585222"/>
        </a:xfrm>
        <a:prstGeom prst="rect">
          <a:avLst/>
        </a:prstGeom>
      </xdr:spPr>
    </xdr:pic>
    <xdr:clientData/>
  </xdr:oneCellAnchor>
  <xdr:oneCellAnchor>
    <xdr:from>
      <xdr:col>4</xdr:col>
      <xdr:colOff>163876</xdr:colOff>
      <xdr:row>0</xdr:row>
      <xdr:rowOff>77629</xdr:rowOff>
    </xdr:from>
    <xdr:ext cx="3862817" cy="770617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DD7A74F-1B54-4A2A-8889-3F8E5D70E3F0}"/>
            </a:ext>
          </a:extLst>
        </xdr:cNvPr>
        <xdr:cNvSpPr/>
      </xdr:nvSpPr>
      <xdr:spPr>
        <a:xfrm>
          <a:off x="2724196" y="77629"/>
          <a:ext cx="3862817" cy="77061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pt-BR" sz="44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INDICADORES</a:t>
          </a:r>
          <a:r>
            <a:rPr lang="pt-BR" sz="4400" b="0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</a:p>
        <a:p>
          <a:pPr algn="l"/>
          <a:r>
            <a:rPr lang="pt-BR" sz="1800" b="0" i="1" u="none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Consolidado</a:t>
          </a:r>
          <a:r>
            <a:rPr lang="pt-BR" sz="36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36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2025</a:t>
          </a:r>
        </a:p>
      </xdr:txBody>
    </xdr:sp>
    <xdr:clientData/>
  </xdr:oneCellAnchor>
  <xdr:oneCellAnchor>
    <xdr:from>
      <xdr:col>0</xdr:col>
      <xdr:colOff>124777</xdr:colOff>
      <xdr:row>0</xdr:row>
      <xdr:rowOff>35721</xdr:rowOff>
    </xdr:from>
    <xdr:ext cx="1825640" cy="1103151"/>
    <xdr:pic>
      <xdr:nvPicPr>
        <xdr:cNvPr id="4" name="Imagem 3" descr="logo Qv Saúde Benefícios">
          <a:extLst>
            <a:ext uri="{FF2B5EF4-FFF2-40B4-BE49-F238E27FC236}">
              <a16:creationId xmlns:a16="http://schemas.microsoft.com/office/drawing/2014/main" id="{F3BC9FE8-404F-4C39-BDDB-D00A18A35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" y="35721"/>
          <a:ext cx="1825640" cy="11031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327660</xdr:colOff>
      <xdr:row>5</xdr:row>
      <xdr:rowOff>166688</xdr:rowOff>
    </xdr:from>
    <xdr:ext cx="1093755" cy="414746"/>
    <xdr:pic>
      <xdr:nvPicPr>
        <xdr:cNvPr id="5" name="Imagem 4">
          <a:extLst>
            <a:ext uri="{FF2B5EF4-FFF2-40B4-BE49-F238E27FC236}">
              <a16:creationId xmlns:a16="http://schemas.microsoft.com/office/drawing/2014/main" id="{BDBF0E85-6DA9-41C3-A81D-31894E4875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16" b="19069"/>
        <a:stretch/>
      </xdr:blipFill>
      <xdr:spPr>
        <a:xfrm>
          <a:off x="967740" y="1081088"/>
          <a:ext cx="1093755" cy="414746"/>
        </a:xfrm>
        <a:prstGeom prst="rect">
          <a:avLst/>
        </a:prstGeom>
      </xdr:spPr>
    </xdr:pic>
    <xdr:clientData/>
  </xdr:oneCellAnchor>
  <xdr:oneCellAnchor>
    <xdr:from>
      <xdr:col>0</xdr:col>
      <xdr:colOff>514694</xdr:colOff>
      <xdr:row>282</xdr:row>
      <xdr:rowOff>140550</xdr:rowOff>
    </xdr:from>
    <xdr:ext cx="1004164" cy="2732566"/>
    <xdr:pic>
      <xdr:nvPicPr>
        <xdr:cNvPr id="6" name="Imagem 5" descr="Integral Saude Logo">
          <a:extLst>
            <a:ext uri="{FF2B5EF4-FFF2-40B4-BE49-F238E27FC236}">
              <a16:creationId xmlns:a16="http://schemas.microsoft.com/office/drawing/2014/main" id="{BA5CADF8-7671-4ED0-8C3C-FFD58FEEF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349507" y="52576911"/>
          <a:ext cx="2732566" cy="1004164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527686</xdr:colOff>
      <xdr:row>187</xdr:row>
      <xdr:rowOff>6862</xdr:rowOff>
    </xdr:from>
    <xdr:ext cx="1122470" cy="3032459"/>
    <xdr:pic>
      <xdr:nvPicPr>
        <xdr:cNvPr id="7" name="Imagem 6" descr="HealthMed">
          <a:extLst>
            <a:ext uri="{FF2B5EF4-FFF2-40B4-BE49-F238E27FC236}">
              <a16:creationId xmlns:a16="http://schemas.microsoft.com/office/drawing/2014/main" id="{32D6283E-8063-4B33-A2A7-068C8EDF7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427309" y="35160417"/>
          <a:ext cx="3032459" cy="112247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617657</xdr:colOff>
      <xdr:row>262</xdr:row>
      <xdr:rowOff>56290</xdr:rowOff>
    </xdr:from>
    <xdr:ext cx="836991" cy="1943201"/>
    <xdr:pic>
      <xdr:nvPicPr>
        <xdr:cNvPr id="8" name="Imagem 7">
          <a:extLst>
            <a:ext uri="{FF2B5EF4-FFF2-40B4-BE49-F238E27FC236}">
              <a16:creationId xmlns:a16="http://schemas.microsoft.com/office/drawing/2014/main" id="{E33138DE-6BF6-47F6-BC69-A353203DC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64552" y="48523955"/>
          <a:ext cx="1943201" cy="836991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155965</xdr:colOff>
      <xdr:row>237</xdr:row>
      <xdr:rowOff>0</xdr:rowOff>
    </xdr:from>
    <xdr:ext cx="655885" cy="3419474"/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874FC02C-2F6A-49D1-8C90-3AA5334C7FC9}"/>
            </a:ext>
          </a:extLst>
        </xdr:cNvPr>
        <xdr:cNvSpPr/>
      </xdr:nvSpPr>
      <xdr:spPr>
        <a:xfrm rot="16200000">
          <a:off x="54331" y="44724354"/>
          <a:ext cx="3419474" cy="65588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pt-BR" sz="36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CONSOLIDADO</a:t>
          </a:r>
          <a:r>
            <a:rPr lang="pt-BR" sz="36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</a:p>
      </xdr:txBody>
    </xdr:sp>
    <xdr:clientData/>
  </xdr:oneCellAnchor>
  <xdr:oneCellAnchor>
    <xdr:from>
      <xdr:col>0</xdr:col>
      <xdr:colOff>0</xdr:colOff>
      <xdr:row>250</xdr:row>
      <xdr:rowOff>115255</xdr:rowOff>
    </xdr:from>
    <xdr:ext cx="1459757" cy="871800"/>
    <xdr:pic>
      <xdr:nvPicPr>
        <xdr:cNvPr id="10" name="Imagem 9" descr="logo Qv Saúde Benefícios">
          <a:extLst>
            <a:ext uri="{FF2B5EF4-FFF2-40B4-BE49-F238E27FC236}">
              <a16:creationId xmlns:a16="http://schemas.microsoft.com/office/drawing/2014/main" id="{DB792D1D-5A3A-4B97-B961-106A04EC3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835255"/>
          <a:ext cx="1459757" cy="87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601618</xdr:colOff>
      <xdr:row>327</xdr:row>
      <xdr:rowOff>31798</xdr:rowOff>
    </xdr:from>
    <xdr:ext cx="1121390" cy="1556079"/>
    <xdr:pic>
      <xdr:nvPicPr>
        <xdr:cNvPr id="11" name="Gráfico 10">
          <a:extLst>
            <a:ext uri="{FF2B5EF4-FFF2-40B4-BE49-F238E27FC236}">
              <a16:creationId xmlns:a16="http://schemas.microsoft.com/office/drawing/2014/main" id="{EBE592C0-414D-4605-8B4F-AEAC5FFFB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 rot="16200000">
          <a:off x="384273" y="60050903"/>
          <a:ext cx="1556079" cy="1121390"/>
        </a:xfrm>
        <a:prstGeom prst="rect">
          <a:avLst/>
        </a:prstGeom>
      </xdr:spPr>
    </xdr:pic>
    <xdr:clientData/>
  </xdr:oneCellAnchor>
  <xdr:oneCellAnchor>
    <xdr:from>
      <xdr:col>0</xdr:col>
      <xdr:colOff>448498</xdr:colOff>
      <xdr:row>83</xdr:row>
      <xdr:rowOff>78931</xdr:rowOff>
    </xdr:from>
    <xdr:ext cx="1051739" cy="2029540"/>
    <xdr:pic>
      <xdr:nvPicPr>
        <xdr:cNvPr id="12" name="Imagem 11" descr="Logo Leve Saúde">
          <a:extLst>
            <a:ext uri="{FF2B5EF4-FFF2-40B4-BE49-F238E27FC236}">
              <a16:creationId xmlns:a16="http://schemas.microsoft.com/office/drawing/2014/main" id="{6A9E643D-970E-40DE-9C36-065F9318C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40402" y="15746871"/>
          <a:ext cx="2029540" cy="1051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559404</xdr:colOff>
      <xdr:row>302</xdr:row>
      <xdr:rowOff>174093</xdr:rowOff>
    </xdr:from>
    <xdr:ext cx="1002025" cy="2634683"/>
    <xdr:pic>
      <xdr:nvPicPr>
        <xdr:cNvPr id="13" name="Imagem 12" descr="Área do Cliente - Aesp Odonto">
          <a:extLst>
            <a:ext uri="{FF2B5EF4-FFF2-40B4-BE49-F238E27FC236}">
              <a16:creationId xmlns:a16="http://schemas.microsoft.com/office/drawing/2014/main" id="{9A6FE662-B3E5-4A77-992A-0CA0AC2FC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256925" y="56220182"/>
          <a:ext cx="2634683" cy="100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33618</xdr:colOff>
      <xdr:row>145</xdr:row>
      <xdr:rowOff>112059</xdr:rowOff>
    </xdr:from>
    <xdr:ext cx="931234" cy="2952868"/>
    <xdr:pic>
      <xdr:nvPicPr>
        <xdr:cNvPr id="14" name="Imagem 13">
          <a:extLst>
            <a:ext uri="{FF2B5EF4-FFF2-40B4-BE49-F238E27FC236}">
              <a16:creationId xmlns:a16="http://schemas.microsoft.com/office/drawing/2014/main" id="{62653002-2FCD-41DC-8EE6-7B526407A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337119" y="27640476"/>
          <a:ext cx="2952868" cy="931234"/>
        </a:xfrm>
        <a:prstGeom prst="rect">
          <a:avLst/>
        </a:prstGeom>
      </xdr:spPr>
    </xdr:pic>
    <xdr:clientData/>
  </xdr:oneCellAnchor>
  <xdr:oneCellAnchor>
    <xdr:from>
      <xdr:col>0</xdr:col>
      <xdr:colOff>624619</xdr:colOff>
      <xdr:row>165</xdr:row>
      <xdr:rowOff>105671</xdr:rowOff>
    </xdr:from>
    <xdr:ext cx="832084" cy="3116686"/>
    <xdr:pic>
      <xdr:nvPicPr>
        <xdr:cNvPr id="15" name="Imagem 14" descr="Logo Oplan">
          <a:extLst>
            <a:ext uri="{FF2B5EF4-FFF2-40B4-BE49-F238E27FC236}">
              <a16:creationId xmlns:a16="http://schemas.microsoft.com/office/drawing/2014/main" id="{1A556AF3-5393-4F4A-BEC6-50F4105AD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517682" y="31423172"/>
          <a:ext cx="3116686" cy="8320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437392</xdr:colOff>
      <xdr:row>61</xdr:row>
      <xdr:rowOff>40878</xdr:rowOff>
    </xdr:from>
    <xdr:ext cx="1171949" cy="2774077"/>
    <xdr:pic>
      <xdr:nvPicPr>
        <xdr:cNvPr id="16" name="Imagem 15">
          <a:extLst>
            <a:ext uri="{FF2B5EF4-FFF2-40B4-BE49-F238E27FC236}">
              <a16:creationId xmlns:a16="http://schemas.microsoft.com/office/drawing/2014/main" id="{5F1DDF7C-C7E3-435C-8DD0-3CD104473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6200000">
          <a:off x="-363672" y="11997622"/>
          <a:ext cx="2774077" cy="1171949"/>
        </a:xfrm>
        <a:prstGeom prst="rect">
          <a:avLst/>
        </a:prstGeom>
      </xdr:spPr>
    </xdr:pic>
    <xdr:clientData/>
  </xdr:oneCellAnchor>
  <xdr:oneCellAnchor>
    <xdr:from>
      <xdr:col>0</xdr:col>
      <xdr:colOff>571730</xdr:colOff>
      <xdr:row>37</xdr:row>
      <xdr:rowOff>97043</xdr:rowOff>
    </xdr:from>
    <xdr:ext cx="926434" cy="2437671"/>
    <xdr:pic>
      <xdr:nvPicPr>
        <xdr:cNvPr id="17" name="Imagem 16" descr="ASSIM SAÚDE">
          <a:extLst>
            <a:ext uri="{FF2B5EF4-FFF2-40B4-BE49-F238E27FC236}">
              <a16:creationId xmlns:a16="http://schemas.microsoft.com/office/drawing/2014/main" id="{48857B34-689F-4F2C-824B-9EF82B045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183889" y="7619222"/>
          <a:ext cx="2437671" cy="926434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13244</xdr:colOff>
      <xdr:row>124</xdr:row>
      <xdr:rowOff>178942</xdr:rowOff>
    </xdr:from>
    <xdr:ext cx="919674" cy="2338699"/>
    <xdr:pic>
      <xdr:nvPicPr>
        <xdr:cNvPr id="18" name="Imagem 17">
          <a:extLst>
            <a:ext uri="{FF2B5EF4-FFF2-40B4-BE49-F238E27FC236}">
              <a16:creationId xmlns:a16="http://schemas.microsoft.com/office/drawing/2014/main" id="{E6EAE701-4CFA-4AD7-9A4F-08F10CBBE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16200000">
          <a:off x="-56189" y="23565575"/>
          <a:ext cx="2338699" cy="919674"/>
        </a:xfrm>
        <a:prstGeom prst="rect">
          <a:avLst/>
        </a:prstGeom>
      </xdr:spPr>
    </xdr:pic>
    <xdr:clientData/>
  </xdr:oneCellAnchor>
  <xdr:oneCellAnchor>
    <xdr:from>
      <xdr:col>0</xdr:col>
      <xdr:colOff>497908</xdr:colOff>
      <xdr:row>102</xdr:row>
      <xdr:rowOff>126039</xdr:rowOff>
    </xdr:from>
    <xdr:ext cx="1191773" cy="3034594"/>
    <xdr:pic>
      <xdr:nvPicPr>
        <xdr:cNvPr id="19" name="Imagem 18">
          <a:extLst>
            <a:ext uri="{FF2B5EF4-FFF2-40B4-BE49-F238E27FC236}">
              <a16:creationId xmlns:a16="http://schemas.microsoft.com/office/drawing/2014/main" id="{40B3BE32-77B6-4B83-991C-C79C3804E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16200000">
          <a:off x="-423502" y="19701209"/>
          <a:ext cx="3034594" cy="1191773"/>
        </a:xfrm>
        <a:prstGeom prst="rect">
          <a:avLst/>
        </a:prstGeom>
      </xdr:spPr>
    </xdr:pic>
    <xdr:clientData/>
  </xdr:oneCellAnchor>
  <xdr:oneCellAnchor>
    <xdr:from>
      <xdr:col>0</xdr:col>
      <xdr:colOff>589004</xdr:colOff>
      <xdr:row>214</xdr:row>
      <xdr:rowOff>85480</xdr:rowOff>
    </xdr:from>
    <xdr:ext cx="1019252" cy="2208038"/>
    <xdr:pic>
      <xdr:nvPicPr>
        <xdr:cNvPr id="20" name="Imagem 19">
          <a:extLst>
            <a:ext uri="{FF2B5EF4-FFF2-40B4-BE49-F238E27FC236}">
              <a16:creationId xmlns:a16="http://schemas.microsoft.com/office/drawing/2014/main" id="{CFC8C595-F80A-4C19-965D-36ACD3DE0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16200000">
          <a:off x="-5389" y="39816193"/>
          <a:ext cx="2208038" cy="1019252"/>
        </a:xfrm>
        <a:prstGeom prst="rect">
          <a:avLst/>
        </a:prstGeom>
      </xdr:spPr>
    </xdr:pic>
    <xdr:clientData/>
  </xdr:oneCellAnchor>
  <xdr:oneCellAnchor>
    <xdr:from>
      <xdr:col>4</xdr:col>
      <xdr:colOff>163876</xdr:colOff>
      <xdr:row>0</xdr:row>
      <xdr:rowOff>77629</xdr:rowOff>
    </xdr:from>
    <xdr:ext cx="3862817" cy="770617"/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3B1C9412-579C-4517-A2E9-A90CA3DB8852}"/>
            </a:ext>
          </a:extLst>
        </xdr:cNvPr>
        <xdr:cNvSpPr/>
      </xdr:nvSpPr>
      <xdr:spPr>
        <a:xfrm>
          <a:off x="2724196" y="77629"/>
          <a:ext cx="3862817" cy="77061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pt-BR" sz="44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INDICADORES</a:t>
          </a:r>
          <a:r>
            <a:rPr lang="pt-BR" sz="4400" b="0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</a:p>
        <a:p>
          <a:pPr algn="l"/>
          <a:r>
            <a:rPr lang="pt-BR" sz="1800" b="0" i="1" u="none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Consolidado</a:t>
          </a:r>
          <a:r>
            <a:rPr lang="pt-BR" sz="36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36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2025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366640</xdr:colOff>
      <xdr:row>13</xdr:row>
      <xdr:rowOff>35716</xdr:rowOff>
    </xdr:from>
    <xdr:ext cx="1571277" cy="2928849"/>
    <xdr:pic>
      <xdr:nvPicPr>
        <xdr:cNvPr id="2" name="Imagem 1">
          <a:extLst>
            <a:ext uri="{FF2B5EF4-FFF2-40B4-BE49-F238E27FC236}">
              <a16:creationId xmlns:a16="http://schemas.microsoft.com/office/drawing/2014/main" id="{450A365A-67C4-4AA7-9D3A-21597E6EE4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468" b="37304"/>
        <a:stretch/>
      </xdr:blipFill>
      <xdr:spPr>
        <a:xfrm rot="16200000">
          <a:off x="-312146" y="3091942"/>
          <a:ext cx="2928849" cy="1571277"/>
        </a:xfrm>
        <a:prstGeom prst="rect">
          <a:avLst/>
        </a:prstGeom>
      </xdr:spPr>
    </xdr:pic>
    <xdr:clientData/>
  </xdr:oneCellAnchor>
  <xdr:oneCellAnchor>
    <xdr:from>
      <xdr:col>4</xdr:col>
      <xdr:colOff>163876</xdr:colOff>
      <xdr:row>0</xdr:row>
      <xdr:rowOff>77629</xdr:rowOff>
    </xdr:from>
    <xdr:ext cx="3862817" cy="770617"/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43B5697B-6F01-4B0F-860E-954A7962A173}"/>
            </a:ext>
          </a:extLst>
        </xdr:cNvPr>
        <xdr:cNvSpPr/>
      </xdr:nvSpPr>
      <xdr:spPr>
        <a:xfrm>
          <a:off x="2724196" y="77629"/>
          <a:ext cx="3862817" cy="770617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l"/>
          <a:r>
            <a:rPr lang="pt-BR" sz="44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INDICADORES</a:t>
          </a:r>
          <a:r>
            <a:rPr lang="pt-BR" sz="4400" b="0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</a:p>
        <a:p>
          <a:pPr algn="l"/>
          <a:r>
            <a:rPr lang="pt-BR" sz="1800" b="0" i="1" u="none" cap="none" spc="0" baseline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Consolidado</a:t>
          </a:r>
          <a:r>
            <a:rPr lang="pt-BR" sz="36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  <a:r>
            <a:rPr lang="pt-BR" sz="36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2026</a:t>
          </a:r>
        </a:p>
      </xdr:txBody>
    </xdr:sp>
    <xdr:clientData/>
  </xdr:oneCellAnchor>
  <xdr:oneCellAnchor>
    <xdr:from>
      <xdr:col>0</xdr:col>
      <xdr:colOff>124777</xdr:colOff>
      <xdr:row>0</xdr:row>
      <xdr:rowOff>35721</xdr:rowOff>
    </xdr:from>
    <xdr:ext cx="1813600" cy="1059411"/>
    <xdr:pic>
      <xdr:nvPicPr>
        <xdr:cNvPr id="4" name="Imagem 3" descr="logo Qv Saúde Benefícios">
          <a:extLst>
            <a:ext uri="{FF2B5EF4-FFF2-40B4-BE49-F238E27FC236}">
              <a16:creationId xmlns:a16="http://schemas.microsoft.com/office/drawing/2014/main" id="{3EE1102A-F493-4520-8535-5413B1E74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" y="35721"/>
          <a:ext cx="1813600" cy="10594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327660</xdr:colOff>
      <xdr:row>5</xdr:row>
      <xdr:rowOff>166688</xdr:rowOff>
    </xdr:from>
    <xdr:ext cx="1088688" cy="390018"/>
    <xdr:pic>
      <xdr:nvPicPr>
        <xdr:cNvPr id="5" name="Imagem 4">
          <a:extLst>
            <a:ext uri="{FF2B5EF4-FFF2-40B4-BE49-F238E27FC236}">
              <a16:creationId xmlns:a16="http://schemas.microsoft.com/office/drawing/2014/main" id="{7F9F928C-3B13-4660-AE73-E582A8F8BA6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16" b="19069"/>
        <a:stretch/>
      </xdr:blipFill>
      <xdr:spPr>
        <a:xfrm>
          <a:off x="967740" y="1081088"/>
          <a:ext cx="1088688" cy="390018"/>
        </a:xfrm>
        <a:prstGeom prst="rect">
          <a:avLst/>
        </a:prstGeom>
      </xdr:spPr>
    </xdr:pic>
    <xdr:clientData/>
  </xdr:oneCellAnchor>
  <xdr:oneCellAnchor>
    <xdr:from>
      <xdr:col>0</xdr:col>
      <xdr:colOff>514694</xdr:colOff>
      <xdr:row>303</xdr:row>
      <xdr:rowOff>140550</xdr:rowOff>
    </xdr:from>
    <xdr:ext cx="990219" cy="2603212"/>
    <xdr:pic>
      <xdr:nvPicPr>
        <xdr:cNvPr id="6" name="Imagem 5" descr="Integral Saude Logo">
          <a:extLst>
            <a:ext uri="{FF2B5EF4-FFF2-40B4-BE49-F238E27FC236}">
              <a16:creationId xmlns:a16="http://schemas.microsoft.com/office/drawing/2014/main" id="{952580FB-148D-4215-894C-25FB25EE3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291802" y="56359686"/>
          <a:ext cx="2603212" cy="990219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527686</xdr:colOff>
      <xdr:row>187</xdr:row>
      <xdr:rowOff>6862</xdr:rowOff>
    </xdr:from>
    <xdr:ext cx="1106620" cy="2880894"/>
    <xdr:pic>
      <xdr:nvPicPr>
        <xdr:cNvPr id="7" name="Imagem 6" descr="HealthMed">
          <a:extLst>
            <a:ext uri="{FF2B5EF4-FFF2-40B4-BE49-F238E27FC236}">
              <a16:creationId xmlns:a16="http://schemas.microsoft.com/office/drawing/2014/main" id="{714AAE68-1704-4DF7-B75E-616F5A9D6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359451" y="35092559"/>
          <a:ext cx="2880894" cy="1106620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617657</xdr:colOff>
      <xdr:row>283</xdr:row>
      <xdr:rowOff>56290</xdr:rowOff>
    </xdr:from>
    <xdr:ext cx="824951" cy="1850615"/>
    <xdr:pic>
      <xdr:nvPicPr>
        <xdr:cNvPr id="8" name="Imagem 7">
          <a:extLst>
            <a:ext uri="{FF2B5EF4-FFF2-40B4-BE49-F238E27FC236}">
              <a16:creationId xmlns:a16="http://schemas.microsoft.com/office/drawing/2014/main" id="{1B20BABC-CF0C-410C-83F3-76CF829BD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104825" y="52324162"/>
          <a:ext cx="1850615" cy="824951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155965</xdr:colOff>
      <xdr:row>258</xdr:row>
      <xdr:rowOff>0</xdr:rowOff>
    </xdr:from>
    <xdr:ext cx="655885" cy="3419474"/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D61CE611-7A67-4BAA-BA4D-83453ADBEC03}"/>
            </a:ext>
          </a:extLst>
        </xdr:cNvPr>
        <xdr:cNvSpPr/>
      </xdr:nvSpPr>
      <xdr:spPr>
        <a:xfrm rot="16200000">
          <a:off x="54331" y="48564834"/>
          <a:ext cx="3419474" cy="65588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l"/>
          <a:r>
            <a:rPr lang="pt-BR" sz="3600" b="0" cap="none" spc="0">
              <a:ln w="0"/>
              <a:solidFill>
                <a:schemeClr val="bg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CONSOLIDADO</a:t>
          </a:r>
          <a:r>
            <a:rPr lang="pt-BR" sz="3600" b="0" cap="none" spc="0">
              <a:ln w="0"/>
              <a:solidFill>
                <a:schemeClr val="accent5">
                  <a:lumMod val="50000"/>
                </a:schemeClr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</a:t>
          </a:r>
        </a:p>
      </xdr:txBody>
    </xdr:sp>
    <xdr:clientData/>
  </xdr:oneCellAnchor>
  <xdr:oneCellAnchor>
    <xdr:from>
      <xdr:col>0</xdr:col>
      <xdr:colOff>0</xdr:colOff>
      <xdr:row>271</xdr:row>
      <xdr:rowOff>115255</xdr:rowOff>
    </xdr:from>
    <xdr:ext cx="1426762" cy="838842"/>
    <xdr:pic>
      <xdr:nvPicPr>
        <xdr:cNvPr id="10" name="Imagem 9" descr="logo Qv Saúde Benefícios">
          <a:extLst>
            <a:ext uri="{FF2B5EF4-FFF2-40B4-BE49-F238E27FC236}">
              <a16:creationId xmlns:a16="http://schemas.microsoft.com/office/drawing/2014/main" id="{F5B7CED6-5726-45CB-8999-4AA24A8BB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675735"/>
          <a:ext cx="1426762" cy="838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448498</xdr:colOff>
      <xdr:row>83</xdr:row>
      <xdr:rowOff>78931</xdr:rowOff>
    </xdr:from>
    <xdr:ext cx="1035889" cy="1931886"/>
    <xdr:pic>
      <xdr:nvPicPr>
        <xdr:cNvPr id="11" name="Imagem 10" descr="Logo Leve Saúde">
          <a:extLst>
            <a:ext uri="{FF2B5EF4-FFF2-40B4-BE49-F238E27FC236}">
              <a16:creationId xmlns:a16="http://schemas.microsoft.com/office/drawing/2014/main" id="{DDED32E2-1B38-492C-A028-11800F92B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500" y="15705969"/>
          <a:ext cx="1931886" cy="10358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559404</xdr:colOff>
      <xdr:row>323</xdr:row>
      <xdr:rowOff>174093</xdr:rowOff>
    </xdr:from>
    <xdr:ext cx="1002025" cy="2634683"/>
    <xdr:pic>
      <xdr:nvPicPr>
        <xdr:cNvPr id="12" name="Imagem 11" descr="Área do Cliente - Aesp Odonto">
          <a:extLst>
            <a:ext uri="{FF2B5EF4-FFF2-40B4-BE49-F238E27FC236}">
              <a16:creationId xmlns:a16="http://schemas.microsoft.com/office/drawing/2014/main" id="{5F59F1CB-295D-43F9-990A-FB2336968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256925" y="60060662"/>
          <a:ext cx="2634683" cy="100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33618</xdr:colOff>
      <xdr:row>145</xdr:row>
      <xdr:rowOff>112059</xdr:rowOff>
    </xdr:from>
    <xdr:ext cx="924262" cy="2811674"/>
    <xdr:pic>
      <xdr:nvPicPr>
        <xdr:cNvPr id="13" name="Imagem 12">
          <a:extLst>
            <a:ext uri="{FF2B5EF4-FFF2-40B4-BE49-F238E27FC236}">
              <a16:creationId xmlns:a16="http://schemas.microsoft.com/office/drawing/2014/main" id="{2A67633E-7AAB-40BD-96BD-7801A922B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-270008" y="27573365"/>
          <a:ext cx="2811674" cy="924262"/>
        </a:xfrm>
        <a:prstGeom prst="rect">
          <a:avLst/>
        </a:prstGeom>
      </xdr:spPr>
    </xdr:pic>
    <xdr:clientData/>
  </xdr:oneCellAnchor>
  <xdr:oneCellAnchor>
    <xdr:from>
      <xdr:col>0</xdr:col>
      <xdr:colOff>624619</xdr:colOff>
      <xdr:row>165</xdr:row>
      <xdr:rowOff>105671</xdr:rowOff>
    </xdr:from>
    <xdr:ext cx="818139" cy="2982912"/>
    <xdr:pic>
      <xdr:nvPicPr>
        <xdr:cNvPr id="14" name="Imagem 13" descr="Logo Oplan">
          <a:extLst>
            <a:ext uri="{FF2B5EF4-FFF2-40B4-BE49-F238E27FC236}">
              <a16:creationId xmlns:a16="http://schemas.microsoft.com/office/drawing/2014/main" id="{E9D9FC93-27C4-476F-952A-C651B2EFE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457767" y="31363257"/>
          <a:ext cx="2982912" cy="8181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437392</xdr:colOff>
      <xdr:row>61</xdr:row>
      <xdr:rowOff>40878</xdr:rowOff>
    </xdr:from>
    <xdr:ext cx="1161814" cy="2650438"/>
    <xdr:pic>
      <xdr:nvPicPr>
        <xdr:cNvPr id="15" name="Imagem 14">
          <a:extLst>
            <a:ext uri="{FF2B5EF4-FFF2-40B4-BE49-F238E27FC236}">
              <a16:creationId xmlns:a16="http://schemas.microsoft.com/office/drawing/2014/main" id="{67C17CDF-89F4-409A-9246-16947E4AC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16200000">
          <a:off x="-306920" y="11940870"/>
          <a:ext cx="2650438" cy="1161814"/>
        </a:xfrm>
        <a:prstGeom prst="rect">
          <a:avLst/>
        </a:prstGeom>
      </xdr:spPr>
    </xdr:pic>
    <xdr:clientData/>
  </xdr:oneCellAnchor>
  <xdr:oneCellAnchor>
    <xdr:from>
      <xdr:col>0</xdr:col>
      <xdr:colOff>571730</xdr:colOff>
      <xdr:row>37</xdr:row>
      <xdr:rowOff>97043</xdr:rowOff>
    </xdr:from>
    <xdr:ext cx="893439" cy="2326072"/>
    <xdr:pic>
      <xdr:nvPicPr>
        <xdr:cNvPr id="16" name="Imagem 15" descr="ASSIM SAÚDE">
          <a:extLst>
            <a:ext uri="{FF2B5EF4-FFF2-40B4-BE49-F238E27FC236}">
              <a16:creationId xmlns:a16="http://schemas.microsoft.com/office/drawing/2014/main" id="{4F9E642A-E15A-4E91-8E28-90B50AEBB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144586" y="7579919"/>
          <a:ext cx="2326072" cy="893439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13244</xdr:colOff>
      <xdr:row>124</xdr:row>
      <xdr:rowOff>178942</xdr:rowOff>
    </xdr:from>
    <xdr:ext cx="912702" cy="2211860"/>
    <xdr:pic>
      <xdr:nvPicPr>
        <xdr:cNvPr id="17" name="Imagem 16">
          <a:extLst>
            <a:ext uri="{FF2B5EF4-FFF2-40B4-BE49-F238E27FC236}">
              <a16:creationId xmlns:a16="http://schemas.microsoft.com/office/drawing/2014/main" id="{C8DEFB3A-F63B-4C71-9E4F-D538ACB63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16200000">
          <a:off x="3745" y="23505641"/>
          <a:ext cx="2211860" cy="912702"/>
        </a:xfrm>
        <a:prstGeom prst="rect">
          <a:avLst/>
        </a:prstGeom>
      </xdr:spPr>
    </xdr:pic>
    <xdr:clientData/>
  </xdr:oneCellAnchor>
  <xdr:oneCellAnchor>
    <xdr:from>
      <xdr:col>0</xdr:col>
      <xdr:colOff>497908</xdr:colOff>
      <xdr:row>102</xdr:row>
      <xdr:rowOff>126039</xdr:rowOff>
    </xdr:from>
    <xdr:ext cx="1174018" cy="2879492"/>
    <xdr:pic>
      <xdr:nvPicPr>
        <xdr:cNvPr id="18" name="Imagem 17">
          <a:extLst>
            <a:ext uri="{FF2B5EF4-FFF2-40B4-BE49-F238E27FC236}">
              <a16:creationId xmlns:a16="http://schemas.microsoft.com/office/drawing/2014/main" id="{35BE9CBD-EFB1-4DDD-B704-DF7C37798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16200000">
          <a:off x="-354829" y="19632536"/>
          <a:ext cx="2879492" cy="1174018"/>
        </a:xfrm>
        <a:prstGeom prst="rect">
          <a:avLst/>
        </a:prstGeom>
      </xdr:spPr>
    </xdr:pic>
    <xdr:clientData/>
  </xdr:oneCellAnchor>
  <xdr:oneCellAnchor>
    <xdr:from>
      <xdr:col>0</xdr:col>
      <xdr:colOff>589004</xdr:colOff>
      <xdr:row>214</xdr:row>
      <xdr:rowOff>85480</xdr:rowOff>
    </xdr:from>
    <xdr:ext cx="991972" cy="2084362"/>
    <xdr:pic>
      <xdr:nvPicPr>
        <xdr:cNvPr id="19" name="Imagem 18">
          <a:extLst>
            <a:ext uri="{FF2B5EF4-FFF2-40B4-BE49-F238E27FC236}">
              <a16:creationId xmlns:a16="http://schemas.microsoft.com/office/drawing/2014/main" id="{A8686B27-FE19-4EB4-B447-6B45DF349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16200000">
          <a:off x="42809" y="39767995"/>
          <a:ext cx="2084362" cy="991972"/>
        </a:xfrm>
        <a:prstGeom prst="rect">
          <a:avLst/>
        </a:prstGeom>
      </xdr:spPr>
    </xdr:pic>
    <xdr:clientData/>
  </xdr:oneCellAnchor>
  <xdr:oneCellAnchor>
    <xdr:from>
      <xdr:col>0</xdr:col>
      <xdr:colOff>321390</xdr:colOff>
      <xdr:row>237</xdr:row>
      <xdr:rowOff>53483</xdr:rowOff>
    </xdr:from>
    <xdr:ext cx="1235556" cy="3285869"/>
    <xdr:pic>
      <xdr:nvPicPr>
        <xdr:cNvPr id="20" name="Imagem 19">
          <a:extLst>
            <a:ext uri="{FF2B5EF4-FFF2-40B4-BE49-F238E27FC236}">
              <a16:creationId xmlns:a16="http://schemas.microsoft.com/office/drawing/2014/main" id="{F17EC620-B6FE-401C-87F7-15359F886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16200000">
          <a:off x="-703767" y="44421200"/>
          <a:ext cx="3285869" cy="12355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S Gestao Saude" id="{16F9DC39-F1E7-4FA8-833A-086637BDA929}" userId="S::gs@qvsaude.com.br::f4827613-f0a5-4948-a577-77b1ffb5af19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43" dT="2025-11-25T13:56:04.95" personId="{16F9DC39-F1E7-4FA8-833A-086637BDA929}" id="{BA5540BF-065B-4374-828F-95E2FAFA52D9}">
    <text xml:space="preserve">+1.459 Cancelamento Klini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47661-B99F-400F-85E7-901CAF14E53A}">
  <sheetPr codeName="Planilha8">
    <tabColor theme="3" tint="-0.499984740745262"/>
  </sheetPr>
  <dimension ref="A1:V170"/>
  <sheetViews>
    <sheetView zoomScale="80" zoomScaleNormal="80" workbookViewId="0">
      <selection activeCell="E10" sqref="E10"/>
    </sheetView>
  </sheetViews>
  <sheetFormatPr defaultColWidth="9.33203125" defaultRowHeight="13.8" x14ac:dyDescent="0.3"/>
  <cols>
    <col min="1" max="3" width="9.33203125" style="1"/>
    <col min="4" max="4" width="0.88671875" style="2" customWidth="1"/>
    <col min="5" max="5" width="49.33203125" style="1" bestFit="1" customWidth="1"/>
    <col min="6" max="16" width="14.109375" style="1" bestFit="1" customWidth="1"/>
    <col min="17" max="17" width="12.6640625" style="1" bestFit="1" customWidth="1"/>
    <col min="18" max="18" width="0.88671875" style="2" customWidth="1"/>
    <col min="19" max="19" width="11.33203125" style="1" bestFit="1" customWidth="1"/>
    <col min="20" max="20" width="1.6640625" style="1" bestFit="1" customWidth="1"/>
    <col min="21" max="16384" width="9.33203125" style="1"/>
  </cols>
  <sheetData>
    <row r="1" spans="1:20" s="28" customFormat="1" ht="14.4" x14ac:dyDescent="0.3">
      <c r="D1" s="2"/>
      <c r="E1" s="1"/>
      <c r="F1" s="1"/>
      <c r="G1" s="1"/>
      <c r="H1" s="1"/>
      <c r="I1" s="1"/>
      <c r="J1" s="1"/>
      <c r="K1" s="1"/>
      <c r="L1" s="1"/>
      <c r="M1" s="1"/>
      <c r="R1" s="2"/>
    </row>
    <row r="2" spans="1:20" s="28" customFormat="1" ht="14.4" x14ac:dyDescent="0.3">
      <c r="D2" s="2"/>
      <c r="E2" s="1"/>
      <c r="F2" s="1"/>
      <c r="G2" s="1"/>
      <c r="H2" s="1"/>
      <c r="I2" s="1"/>
      <c r="J2" s="1"/>
      <c r="K2" s="1"/>
      <c r="L2" s="1"/>
      <c r="M2" s="1"/>
      <c r="R2" s="2"/>
    </row>
    <row r="3" spans="1:20" s="28" customFormat="1" ht="14.4" x14ac:dyDescent="0.3">
      <c r="D3" s="2"/>
      <c r="E3" s="1"/>
      <c r="F3" s="1"/>
      <c r="G3" s="1"/>
      <c r="H3" s="1"/>
      <c r="I3" s="1"/>
      <c r="J3" s="1"/>
      <c r="K3" s="1"/>
      <c r="L3" s="1"/>
      <c r="M3" s="1"/>
      <c r="R3" s="2"/>
    </row>
    <row r="4" spans="1:20" s="28" customFormat="1" ht="14.4" x14ac:dyDescent="0.3">
      <c r="D4" s="2"/>
      <c r="E4" s="1"/>
      <c r="F4" s="1"/>
      <c r="G4" s="1"/>
      <c r="H4" s="1"/>
      <c r="I4" s="1"/>
      <c r="J4" s="1"/>
      <c r="K4" s="1"/>
      <c r="L4" s="1"/>
      <c r="M4" s="1"/>
      <c r="R4" s="2"/>
    </row>
    <row r="5" spans="1:20" s="28" customFormat="1" ht="14.4" x14ac:dyDescent="0.3">
      <c r="D5" s="2"/>
      <c r="E5" s="1"/>
      <c r="F5" s="1"/>
      <c r="G5" s="1"/>
      <c r="H5" s="1"/>
      <c r="I5" s="1"/>
      <c r="J5" s="1"/>
      <c r="K5" s="1"/>
      <c r="L5" s="1"/>
      <c r="M5" s="1"/>
      <c r="R5" s="2"/>
    </row>
    <row r="6" spans="1:20" s="28" customFormat="1" ht="14.4" x14ac:dyDescent="0.3">
      <c r="D6" s="2"/>
      <c r="E6" s="1"/>
      <c r="F6" s="1"/>
      <c r="G6" s="1"/>
      <c r="H6" s="1"/>
      <c r="I6" s="1"/>
      <c r="J6" s="1"/>
      <c r="K6" s="1"/>
      <c r="L6" s="1"/>
      <c r="M6" s="1"/>
      <c r="R6" s="2"/>
    </row>
    <row r="7" spans="1:20" s="28" customFormat="1" ht="14.4" x14ac:dyDescent="0.3">
      <c r="D7" s="2"/>
      <c r="E7" s="1"/>
      <c r="F7" s="1"/>
      <c r="G7" s="1"/>
      <c r="H7" s="1"/>
      <c r="I7" s="1"/>
      <c r="J7" s="1"/>
      <c r="K7" s="1"/>
      <c r="L7" s="1"/>
      <c r="M7" s="1"/>
      <c r="R7" s="2"/>
    </row>
    <row r="8" spans="1:20" s="28" customFormat="1" ht="14.4" x14ac:dyDescent="0.3">
      <c r="D8" s="2"/>
      <c r="E8" s="1"/>
      <c r="F8" s="1"/>
      <c r="G8" s="1"/>
      <c r="H8" s="1"/>
      <c r="I8" s="1"/>
      <c r="J8" s="1"/>
      <c r="K8" s="1"/>
      <c r="L8" s="1"/>
      <c r="M8" s="1"/>
      <c r="R8" s="2"/>
    </row>
    <row r="9" spans="1:20" ht="4.95" customHeight="1" x14ac:dyDescent="0.3">
      <c r="A9" s="2"/>
      <c r="B9" s="2"/>
      <c r="C9" s="2"/>
      <c r="E9" s="29"/>
      <c r="F9" s="30"/>
      <c r="G9" s="29"/>
      <c r="H9" s="29"/>
      <c r="I9" s="29"/>
      <c r="J9" s="29"/>
      <c r="K9" s="29"/>
      <c r="L9" s="29"/>
      <c r="M9" s="2"/>
      <c r="N9" s="2"/>
      <c r="O9" s="2"/>
      <c r="P9" s="2"/>
      <c r="Q9" s="2"/>
      <c r="S9" s="28"/>
      <c r="T9" s="28"/>
    </row>
    <row r="10" spans="1:20" x14ac:dyDescent="0.3">
      <c r="E10" s="15" t="s">
        <v>33</v>
      </c>
      <c r="F10" s="15" t="s">
        <v>32</v>
      </c>
      <c r="G10" s="15" t="s">
        <v>31</v>
      </c>
      <c r="H10" s="15" t="s">
        <v>30</v>
      </c>
      <c r="I10" s="15" t="s">
        <v>29</v>
      </c>
      <c r="J10" s="15" t="s">
        <v>28</v>
      </c>
      <c r="K10" s="15" t="s">
        <v>27</v>
      </c>
      <c r="L10" s="15" t="s">
        <v>26</v>
      </c>
      <c r="M10" s="15" t="s">
        <v>25</v>
      </c>
      <c r="N10" s="15" t="s">
        <v>24</v>
      </c>
      <c r="O10" s="15" t="s">
        <v>23</v>
      </c>
      <c r="P10" s="15" t="s">
        <v>22</v>
      </c>
      <c r="Q10" s="15" t="s">
        <v>21</v>
      </c>
    </row>
    <row r="11" spans="1:20" x14ac:dyDescent="0.3">
      <c r="E11" s="5" t="s">
        <v>19</v>
      </c>
      <c r="F11" s="8">
        <v>57600</v>
      </c>
      <c r="G11" s="8">
        <v>57436</v>
      </c>
      <c r="H11" s="8">
        <v>61323</v>
      </c>
      <c r="I11" s="8">
        <v>62869</v>
      </c>
      <c r="J11" s="8">
        <v>64535</v>
      </c>
      <c r="K11" s="8">
        <v>65797</v>
      </c>
      <c r="L11" s="8">
        <v>68499</v>
      </c>
      <c r="M11" s="8">
        <v>70242</v>
      </c>
      <c r="N11" s="8">
        <v>70298</v>
      </c>
      <c r="O11" s="8">
        <v>69787</v>
      </c>
      <c r="P11" s="8">
        <v>68757</v>
      </c>
      <c r="Q11" s="8">
        <v>68911</v>
      </c>
    </row>
    <row r="12" spans="1:20" x14ac:dyDescent="0.3">
      <c r="E12" s="14" t="s">
        <v>41</v>
      </c>
      <c r="F12" s="8">
        <v>521</v>
      </c>
      <c r="G12" s="8">
        <v>526</v>
      </c>
      <c r="H12" s="8">
        <v>537</v>
      </c>
      <c r="I12" s="8">
        <v>548</v>
      </c>
      <c r="J12" s="8">
        <v>555</v>
      </c>
      <c r="K12" s="8">
        <v>566</v>
      </c>
      <c r="L12" s="8">
        <v>802</v>
      </c>
      <c r="M12" s="8">
        <v>1181</v>
      </c>
      <c r="N12" s="8">
        <v>1330</v>
      </c>
      <c r="O12" s="8">
        <v>1333</v>
      </c>
      <c r="P12" s="8">
        <v>1365</v>
      </c>
      <c r="Q12" s="8">
        <v>1461</v>
      </c>
    </row>
    <row r="13" spans="1:20" x14ac:dyDescent="0.3">
      <c r="E13" s="14" t="s">
        <v>40</v>
      </c>
      <c r="F13" s="8">
        <v>57079</v>
      </c>
      <c r="G13" s="8">
        <v>56910</v>
      </c>
      <c r="H13" s="8">
        <v>60786</v>
      </c>
      <c r="I13" s="8">
        <v>62321</v>
      </c>
      <c r="J13" s="8">
        <v>63980</v>
      </c>
      <c r="K13" s="8">
        <v>65231</v>
      </c>
      <c r="L13" s="8">
        <v>67697</v>
      </c>
      <c r="M13" s="8">
        <v>69061</v>
      </c>
      <c r="N13" s="8">
        <v>68968</v>
      </c>
      <c r="O13" s="8">
        <v>68454</v>
      </c>
      <c r="P13" s="8">
        <v>67392</v>
      </c>
      <c r="Q13" s="8">
        <v>67450</v>
      </c>
    </row>
    <row r="14" spans="1:20" x14ac:dyDescent="0.3">
      <c r="E14" s="5" t="s">
        <v>39</v>
      </c>
      <c r="F14" s="8">
        <v>2348</v>
      </c>
      <c r="G14" s="8">
        <v>2792</v>
      </c>
      <c r="H14" s="8">
        <v>2503</v>
      </c>
      <c r="I14" s="8">
        <v>2244</v>
      </c>
      <c r="J14" s="8">
        <v>2266</v>
      </c>
      <c r="K14" s="8">
        <v>2508</v>
      </c>
      <c r="L14" s="8">
        <v>3026</v>
      </c>
      <c r="M14" s="8">
        <v>3304</v>
      </c>
      <c r="N14" s="8">
        <v>3960</v>
      </c>
      <c r="O14" s="8">
        <v>5014</v>
      </c>
      <c r="P14" s="8">
        <v>4112</v>
      </c>
      <c r="Q14" s="8">
        <v>4024</v>
      </c>
    </row>
    <row r="15" spans="1:20" x14ac:dyDescent="0.3">
      <c r="E15" s="5" t="s">
        <v>15</v>
      </c>
      <c r="F15" s="8">
        <v>276</v>
      </c>
      <c r="G15" s="8">
        <v>367</v>
      </c>
      <c r="H15" s="8">
        <v>226</v>
      </c>
      <c r="I15" s="8">
        <v>176</v>
      </c>
      <c r="J15" s="8">
        <v>195</v>
      </c>
      <c r="K15" s="8">
        <v>284</v>
      </c>
      <c r="L15" s="8">
        <v>558</v>
      </c>
      <c r="M15" s="8">
        <v>387</v>
      </c>
      <c r="N15" s="8">
        <v>735</v>
      </c>
      <c r="O15" s="8">
        <v>844</v>
      </c>
      <c r="P15" s="13">
        <v>748</v>
      </c>
      <c r="Q15" s="8">
        <v>946</v>
      </c>
    </row>
    <row r="16" spans="1:20" x14ac:dyDescent="0.3">
      <c r="E16" s="5" t="s">
        <v>14</v>
      </c>
      <c r="F16" s="10">
        <v>4.1545756953783E-2</v>
      </c>
      <c r="G16" s="10">
        <v>4.8472222222222222E-2</v>
      </c>
      <c r="H16" s="10">
        <v>4.3578940037607074E-2</v>
      </c>
      <c r="I16" s="10">
        <v>3.6593121667237417E-2</v>
      </c>
      <c r="J16" s="10">
        <v>3.6043200941640555E-2</v>
      </c>
      <c r="K16" s="10">
        <v>3.8862632679941118E-2</v>
      </c>
      <c r="L16" s="10">
        <v>4.5989938751006883E-2</v>
      </c>
      <c r="M16" s="10">
        <v>4.8234280792420328E-2</v>
      </c>
      <c r="N16" s="10">
        <v>5.6376526864269243E-2</v>
      </c>
      <c r="O16" s="10">
        <v>7.1324931007994544E-2</v>
      </c>
      <c r="P16" s="10">
        <v>5.8922148824279597E-2</v>
      </c>
      <c r="Q16" s="10">
        <v>5.8524950186890065E-2</v>
      </c>
    </row>
    <row r="17" spans="1:20" x14ac:dyDescent="0.3">
      <c r="E17" s="5" t="s">
        <v>13</v>
      </c>
      <c r="F17" s="8">
        <v>637</v>
      </c>
      <c r="G17" s="8">
        <v>887</v>
      </c>
      <c r="H17" s="8">
        <v>822</v>
      </c>
      <c r="I17" s="8">
        <v>786</v>
      </c>
      <c r="J17" s="8">
        <v>942</v>
      </c>
      <c r="K17" s="8">
        <v>887</v>
      </c>
      <c r="L17" s="8">
        <v>709</v>
      </c>
      <c r="M17" s="8">
        <v>808</v>
      </c>
      <c r="N17" s="8">
        <v>998</v>
      </c>
      <c r="O17" s="8">
        <v>1323</v>
      </c>
      <c r="P17" s="8">
        <v>1356</v>
      </c>
      <c r="Q17" s="8">
        <v>1504</v>
      </c>
    </row>
    <row r="18" spans="1:20" x14ac:dyDescent="0.3">
      <c r="E18" s="5" t="s">
        <v>12</v>
      </c>
      <c r="F18" s="8">
        <v>1399</v>
      </c>
      <c r="G18" s="8">
        <v>1628</v>
      </c>
      <c r="H18" s="8">
        <v>1243</v>
      </c>
      <c r="I18" s="8">
        <v>1106</v>
      </c>
      <c r="J18" s="8">
        <v>1073</v>
      </c>
      <c r="K18" s="8">
        <v>1246</v>
      </c>
      <c r="L18" s="8">
        <v>1791</v>
      </c>
      <c r="M18" s="8">
        <v>1817</v>
      </c>
      <c r="N18" s="8">
        <v>1508</v>
      </c>
      <c r="O18" s="8">
        <v>2393</v>
      </c>
      <c r="P18" s="8">
        <v>2280</v>
      </c>
      <c r="Q18" s="8">
        <v>1771</v>
      </c>
      <c r="T18" s="41"/>
    </row>
    <row r="19" spans="1:20" x14ac:dyDescent="0.3">
      <c r="E19" s="5" t="s">
        <v>11</v>
      </c>
      <c r="F19" s="8">
        <v>218</v>
      </c>
      <c r="G19" s="8">
        <v>139</v>
      </c>
      <c r="H19" s="8">
        <v>114</v>
      </c>
      <c r="I19" s="8">
        <v>191</v>
      </c>
      <c r="J19" s="8">
        <v>173</v>
      </c>
      <c r="K19" s="8">
        <v>227</v>
      </c>
      <c r="L19" s="8">
        <v>392</v>
      </c>
      <c r="M19" s="8">
        <v>533</v>
      </c>
      <c r="N19" s="8">
        <v>1350</v>
      </c>
      <c r="O19" s="8">
        <v>1164</v>
      </c>
      <c r="P19" s="8">
        <v>324</v>
      </c>
      <c r="Q19" s="8">
        <v>612</v>
      </c>
      <c r="T19" s="41"/>
    </row>
    <row r="20" spans="1:20" x14ac:dyDescent="0.3">
      <c r="E20" s="5" t="s">
        <v>10</v>
      </c>
      <c r="F20" s="42" t="s">
        <v>34</v>
      </c>
      <c r="G20" s="42" t="s">
        <v>34</v>
      </c>
      <c r="H20" s="42" t="s">
        <v>34</v>
      </c>
      <c r="I20" s="42" t="s">
        <v>34</v>
      </c>
      <c r="J20" s="8">
        <v>31</v>
      </c>
      <c r="K20" s="8">
        <v>34</v>
      </c>
      <c r="L20" s="8">
        <v>26</v>
      </c>
      <c r="M20" s="8">
        <v>19</v>
      </c>
      <c r="N20" s="8">
        <v>19</v>
      </c>
      <c r="O20" s="8">
        <v>17</v>
      </c>
      <c r="P20" s="8">
        <v>29</v>
      </c>
      <c r="Q20" s="8">
        <v>34</v>
      </c>
      <c r="T20" s="41"/>
    </row>
    <row r="21" spans="1:20" x14ac:dyDescent="0.3">
      <c r="E21" s="5" t="s">
        <v>9</v>
      </c>
      <c r="F21" s="42" t="s">
        <v>34</v>
      </c>
      <c r="G21" s="42" t="s">
        <v>34</v>
      </c>
      <c r="H21" s="42" t="s">
        <v>34</v>
      </c>
      <c r="I21" s="42" t="s">
        <v>34</v>
      </c>
      <c r="J21" s="8">
        <v>13</v>
      </c>
      <c r="K21" s="8">
        <v>7</v>
      </c>
      <c r="L21" s="8">
        <v>10</v>
      </c>
      <c r="M21" s="8">
        <v>7</v>
      </c>
      <c r="N21" s="8">
        <v>2</v>
      </c>
      <c r="O21" s="8">
        <v>6</v>
      </c>
      <c r="P21" s="8">
        <v>12</v>
      </c>
      <c r="Q21" s="8">
        <v>8</v>
      </c>
      <c r="T21" s="41"/>
    </row>
    <row r="22" spans="1:20" x14ac:dyDescent="0.3">
      <c r="E22" s="25" t="s">
        <v>8</v>
      </c>
      <c r="F22" s="42">
        <v>94</v>
      </c>
      <c r="G22" s="42">
        <v>138</v>
      </c>
      <c r="H22" s="42">
        <v>324</v>
      </c>
      <c r="I22" s="42">
        <v>161</v>
      </c>
      <c r="J22" s="8">
        <v>34</v>
      </c>
      <c r="K22" s="8">
        <v>107</v>
      </c>
      <c r="L22" s="8">
        <v>98</v>
      </c>
      <c r="M22" s="8">
        <v>120</v>
      </c>
      <c r="N22" s="8">
        <v>83</v>
      </c>
      <c r="O22" s="8">
        <v>111</v>
      </c>
      <c r="P22" s="8">
        <v>111</v>
      </c>
      <c r="Q22" s="8">
        <v>95</v>
      </c>
      <c r="T22" s="41"/>
    </row>
    <row r="23" spans="1:20" x14ac:dyDescent="0.3">
      <c r="E23" s="5" t="s">
        <v>6</v>
      </c>
      <c r="F23" s="24">
        <v>38042747.910000004</v>
      </c>
      <c r="G23" s="24">
        <v>38099983.679999992</v>
      </c>
      <c r="H23" s="24">
        <v>39967217.530000001</v>
      </c>
      <c r="I23" s="24">
        <v>41023638.889999986</v>
      </c>
      <c r="J23" s="24">
        <v>41689101.589999996</v>
      </c>
      <c r="K23" s="40">
        <v>43041830.449992083</v>
      </c>
      <c r="L23" s="40">
        <v>46311487.579989366</v>
      </c>
      <c r="M23" s="24">
        <v>47292638.029988371</v>
      </c>
      <c r="N23" s="24">
        <v>46814584.809991047</v>
      </c>
      <c r="O23" s="24">
        <v>46397911.44999209</v>
      </c>
      <c r="P23" s="24">
        <v>46395074.169994004</v>
      </c>
      <c r="Q23" s="8">
        <v>46006217.049995176</v>
      </c>
    </row>
    <row r="24" spans="1:20" x14ac:dyDescent="0.3">
      <c r="E24" s="5" t="s">
        <v>5</v>
      </c>
      <c r="F24" s="24">
        <v>37560160.800000012</v>
      </c>
      <c r="G24" s="24">
        <v>37663472.730000012</v>
      </c>
      <c r="H24" s="24">
        <v>39483455.769999996</v>
      </c>
      <c r="I24" s="24">
        <v>40571025.279999986</v>
      </c>
      <c r="J24" s="24">
        <v>41255548.439999998</v>
      </c>
      <c r="K24" s="24">
        <v>40195159.969992027</v>
      </c>
      <c r="L24" s="24">
        <v>42794550.329989262</v>
      </c>
      <c r="M24" s="24">
        <v>43880352.719988257</v>
      </c>
      <c r="N24" s="24">
        <v>43324678.609990947</v>
      </c>
      <c r="O24" s="24">
        <v>41593978.609991953</v>
      </c>
      <c r="P24" s="24">
        <v>42411621.809993915</v>
      </c>
      <c r="Q24" s="8">
        <v>40802541.069994979</v>
      </c>
      <c r="T24" s="39"/>
    </row>
    <row r="25" spans="1:20" x14ac:dyDescent="0.3">
      <c r="E25" s="5" t="s">
        <v>4</v>
      </c>
      <c r="F25" s="9">
        <v>1.2685390422944143E-2</v>
      </c>
      <c r="G25" s="9">
        <v>1.1456985222519145E-2</v>
      </c>
      <c r="H25" s="9">
        <v>1.2103963945873542E-2</v>
      </c>
      <c r="I25" s="9">
        <v>1.1032995176601168E-2</v>
      </c>
      <c r="J25" s="9">
        <v>1.0399676017580517E-2</v>
      </c>
      <c r="K25" s="9">
        <v>6.6137300626827322E-2</v>
      </c>
      <c r="L25" s="9">
        <v>7.594092597275437E-2</v>
      </c>
      <c r="M25" s="9">
        <v>7.2152568605633238E-2</v>
      </c>
      <c r="N25" s="9">
        <v>7.4547413250908412E-2</v>
      </c>
      <c r="O25" s="9">
        <v>0.10353769576843652</v>
      </c>
      <c r="P25" s="9">
        <v>8.5859381222336384E-2</v>
      </c>
      <c r="Q25" s="9">
        <v>0.11310810394050308</v>
      </c>
    </row>
    <row r="26" spans="1:20" x14ac:dyDescent="0.3">
      <c r="E26" s="5" t="s">
        <v>3</v>
      </c>
      <c r="F26" s="8">
        <v>1720</v>
      </c>
      <c r="G26" s="8">
        <v>3116</v>
      </c>
      <c r="H26" s="8">
        <v>5720</v>
      </c>
      <c r="I26" s="8">
        <v>4355</v>
      </c>
      <c r="J26" s="8">
        <v>3364</v>
      </c>
      <c r="K26" s="8">
        <v>3679</v>
      </c>
      <c r="L26" s="8">
        <v>5677</v>
      </c>
      <c r="M26" s="8">
        <v>5119</v>
      </c>
      <c r="N26" s="8">
        <v>4060</v>
      </c>
      <c r="O26" s="8">
        <v>4792</v>
      </c>
      <c r="P26" s="8">
        <v>4272</v>
      </c>
      <c r="Q26" s="8">
        <v>3319</v>
      </c>
    </row>
    <row r="27" spans="1:20" x14ac:dyDescent="0.3">
      <c r="E27" s="5" t="s">
        <v>2</v>
      </c>
      <c r="F27" s="24">
        <v>660.46437343750006</v>
      </c>
      <c r="G27" s="24">
        <v>663.34674559509699</v>
      </c>
      <c r="H27" s="24">
        <v>651.74922182541627</v>
      </c>
      <c r="I27" s="24">
        <v>652.5257104455294</v>
      </c>
      <c r="J27" s="24">
        <v>645.99212194932977</v>
      </c>
      <c r="K27" s="24">
        <v>654.16098682298707</v>
      </c>
      <c r="L27" s="24">
        <v>676.08998058350289</v>
      </c>
      <c r="M27" s="24">
        <v>673.28148443934356</v>
      </c>
      <c r="N27" s="24">
        <v>665.94476101725581</v>
      </c>
      <c r="O27" s="24">
        <v>664.85035106813723</v>
      </c>
      <c r="P27" s="24">
        <v>674.76873874651312</v>
      </c>
      <c r="Q27" s="24">
        <v>667.61789917422732</v>
      </c>
    </row>
    <row r="28" spans="1:20" x14ac:dyDescent="0.3">
      <c r="E28" s="5" t="s">
        <v>1</v>
      </c>
      <c r="F28" s="23">
        <v>791138.96678834851</v>
      </c>
      <c r="G28" s="23">
        <v>785044.32279999962</v>
      </c>
      <c r="H28" s="23">
        <v>891683.76289999916</v>
      </c>
      <c r="I28" s="23">
        <v>1562071.5134000031</v>
      </c>
      <c r="J28" s="23">
        <v>1357926.0096000042</v>
      </c>
      <c r="K28" s="23">
        <v>1136660.2893000029</v>
      </c>
      <c r="L28" s="23">
        <v>1270749.390800003</v>
      </c>
      <c r="M28" s="23">
        <v>1474927.0913000151</v>
      </c>
      <c r="N28" s="23">
        <v>1414873.7995333395</v>
      </c>
      <c r="O28" s="23">
        <v>1174586.2913333375</v>
      </c>
      <c r="P28" s="23">
        <v>1294079.7886666812</v>
      </c>
      <c r="Q28" s="23">
        <v>1563510.3964996813</v>
      </c>
    </row>
    <row r="29" spans="1:20" x14ac:dyDescent="0.3">
      <c r="E29" s="5" t="s">
        <v>0</v>
      </c>
      <c r="F29" s="23">
        <v>492989.45</v>
      </c>
      <c r="G29" s="23">
        <v>716100.76</v>
      </c>
      <c r="H29" s="23">
        <v>1359268.01</v>
      </c>
      <c r="I29" s="23">
        <v>1970200</v>
      </c>
      <c r="J29" s="23">
        <v>2021250</v>
      </c>
      <c r="K29" s="23">
        <v>1300590</v>
      </c>
      <c r="L29" s="23">
        <v>1527848.8900000001</v>
      </c>
      <c r="M29" s="23">
        <v>1736614.7</v>
      </c>
      <c r="N29" s="23">
        <v>1507306.52</v>
      </c>
      <c r="O29" s="23">
        <v>1213192.3899999999</v>
      </c>
      <c r="P29" s="23">
        <v>1429715.3399999999</v>
      </c>
      <c r="Q29" s="23">
        <v>1672830</v>
      </c>
    </row>
    <row r="30" spans="1:20" ht="4.95" customHeight="1" x14ac:dyDescent="0.3">
      <c r="A30" s="2"/>
      <c r="B30" s="2"/>
      <c r="C30" s="2"/>
      <c r="E30" s="29"/>
      <c r="F30" s="30"/>
      <c r="G30" s="29"/>
      <c r="H30" s="29"/>
      <c r="I30" s="29"/>
      <c r="J30" s="29"/>
      <c r="K30" s="29"/>
      <c r="L30" s="29"/>
      <c r="M30" s="2"/>
      <c r="N30" s="2"/>
      <c r="O30" s="2"/>
      <c r="P30" s="2"/>
      <c r="Q30" s="2"/>
      <c r="S30" s="28"/>
      <c r="T30" s="28"/>
    </row>
    <row r="31" spans="1:20" x14ac:dyDescent="0.3">
      <c r="E31" s="15" t="s">
        <v>33</v>
      </c>
      <c r="F31" s="15" t="s">
        <v>32</v>
      </c>
      <c r="G31" s="15" t="s">
        <v>31</v>
      </c>
      <c r="H31" s="15" t="s">
        <v>30</v>
      </c>
      <c r="I31" s="15" t="s">
        <v>29</v>
      </c>
      <c r="J31" s="15" t="s">
        <v>28</v>
      </c>
      <c r="K31" s="15" t="s">
        <v>27</v>
      </c>
      <c r="L31" s="15" t="s">
        <v>26</v>
      </c>
      <c r="M31" s="15" t="s">
        <v>25</v>
      </c>
      <c r="N31" s="15" t="s">
        <v>24</v>
      </c>
      <c r="O31" s="15" t="s">
        <v>23</v>
      </c>
      <c r="P31" s="15" t="s">
        <v>22</v>
      </c>
      <c r="Q31" s="15" t="s">
        <v>21</v>
      </c>
    </row>
    <row r="32" spans="1:20" x14ac:dyDescent="0.3">
      <c r="E32" s="5" t="s">
        <v>19</v>
      </c>
      <c r="F32" s="8">
        <v>5699</v>
      </c>
      <c r="G32" s="8">
        <v>5557</v>
      </c>
      <c r="H32" s="8">
        <v>5452</v>
      </c>
      <c r="I32" s="8">
        <v>5478</v>
      </c>
      <c r="J32" s="8">
        <v>5555</v>
      </c>
      <c r="K32" s="8">
        <v>5561</v>
      </c>
      <c r="L32" s="8">
        <v>8368</v>
      </c>
      <c r="M32" s="8">
        <v>9844</v>
      </c>
      <c r="N32" s="8">
        <v>10312</v>
      </c>
      <c r="O32" s="8">
        <v>10617</v>
      </c>
      <c r="P32" s="8">
        <v>10554</v>
      </c>
      <c r="Q32" s="8">
        <v>10530</v>
      </c>
    </row>
    <row r="33" spans="5:17" x14ac:dyDescent="0.3">
      <c r="E33" s="14" t="s">
        <v>41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</row>
    <row r="34" spans="5:17" x14ac:dyDescent="0.3">
      <c r="E34" s="14" t="s">
        <v>40</v>
      </c>
      <c r="F34" s="8">
        <v>5699</v>
      </c>
      <c r="G34" s="8">
        <v>5557</v>
      </c>
      <c r="H34" s="8">
        <v>5452</v>
      </c>
      <c r="I34" s="8">
        <v>5478</v>
      </c>
      <c r="J34" s="8">
        <v>5555</v>
      </c>
      <c r="K34" s="8">
        <v>5561</v>
      </c>
      <c r="L34" s="8">
        <v>8368</v>
      </c>
      <c r="M34" s="8">
        <v>9844</v>
      </c>
      <c r="N34" s="8">
        <v>10312</v>
      </c>
      <c r="O34" s="8">
        <v>10617</v>
      </c>
      <c r="P34" s="8">
        <v>10554</v>
      </c>
      <c r="Q34" s="8">
        <v>10530</v>
      </c>
    </row>
    <row r="35" spans="5:17" x14ac:dyDescent="0.3">
      <c r="E35" s="5" t="s">
        <v>39</v>
      </c>
      <c r="F35" s="8">
        <v>268</v>
      </c>
      <c r="G35" s="8">
        <v>346</v>
      </c>
      <c r="H35" s="8">
        <v>375</v>
      </c>
      <c r="I35" s="8">
        <v>306</v>
      </c>
      <c r="J35" s="8">
        <v>280</v>
      </c>
      <c r="K35" s="8">
        <v>272</v>
      </c>
      <c r="L35" s="8">
        <v>352</v>
      </c>
      <c r="M35" s="8">
        <v>369</v>
      </c>
      <c r="N35" s="8">
        <v>640</v>
      </c>
      <c r="O35" s="8">
        <v>666</v>
      </c>
      <c r="P35" s="8">
        <v>603</v>
      </c>
      <c r="Q35" s="8">
        <v>611</v>
      </c>
    </row>
    <row r="36" spans="5:17" x14ac:dyDescent="0.3">
      <c r="E36" s="5" t="s">
        <v>15</v>
      </c>
      <c r="F36" s="8">
        <v>27</v>
      </c>
      <c r="G36" s="8">
        <v>37</v>
      </c>
      <c r="H36" s="8">
        <v>22</v>
      </c>
      <c r="I36" s="8">
        <v>26</v>
      </c>
      <c r="J36" s="8">
        <v>28</v>
      </c>
      <c r="K36" s="8">
        <v>17</v>
      </c>
      <c r="L36" s="8">
        <v>53</v>
      </c>
      <c r="M36" s="8">
        <v>161</v>
      </c>
      <c r="N36" s="8">
        <v>344</v>
      </c>
      <c r="O36" s="8">
        <v>276</v>
      </c>
      <c r="P36" s="8">
        <v>99</v>
      </c>
      <c r="Q36" s="8">
        <v>88</v>
      </c>
    </row>
    <row r="37" spans="5:17" x14ac:dyDescent="0.3">
      <c r="E37" s="5" t="s">
        <v>14</v>
      </c>
      <c r="F37" s="10">
        <v>4.6294696838832271E-2</v>
      </c>
      <c r="G37" s="10">
        <v>6.0712405685207929E-2</v>
      </c>
      <c r="H37" s="10">
        <v>6.7482454561813926E-2</v>
      </c>
      <c r="I37" s="10">
        <v>5.612619222303742E-2</v>
      </c>
      <c r="J37" s="10">
        <v>5.1113545089448702E-2</v>
      </c>
      <c r="K37" s="10">
        <v>4.8964896489648968E-2</v>
      </c>
      <c r="L37" s="10">
        <v>6.3297967991368456E-2</v>
      </c>
      <c r="M37" s="10">
        <v>4.4096558317399615E-2</v>
      </c>
      <c r="N37" s="10">
        <v>6.5014221861032104E-2</v>
      </c>
      <c r="O37" s="10">
        <v>6.458494957331265E-2</v>
      </c>
      <c r="P37" s="10">
        <v>5.679570500141283E-2</v>
      </c>
      <c r="Q37" s="10">
        <v>5.7892742088307754E-2</v>
      </c>
    </row>
    <row r="38" spans="5:17" x14ac:dyDescent="0.3">
      <c r="E38" s="5" t="s">
        <v>13</v>
      </c>
      <c r="F38" s="8">
        <v>101</v>
      </c>
      <c r="G38" s="8">
        <v>136</v>
      </c>
      <c r="H38" s="8">
        <v>150</v>
      </c>
      <c r="I38" s="8">
        <v>113</v>
      </c>
      <c r="J38" s="8">
        <v>122</v>
      </c>
      <c r="K38" s="8">
        <v>114</v>
      </c>
      <c r="L38" s="8">
        <v>97</v>
      </c>
      <c r="M38" s="8">
        <v>85</v>
      </c>
      <c r="N38" s="8">
        <v>295</v>
      </c>
      <c r="O38" s="8">
        <v>389</v>
      </c>
      <c r="P38" s="8">
        <v>331</v>
      </c>
      <c r="Q38" s="8">
        <v>5</v>
      </c>
    </row>
    <row r="39" spans="5:17" x14ac:dyDescent="0.3">
      <c r="E39" s="5" t="s">
        <v>12</v>
      </c>
      <c r="F39" s="8">
        <v>125</v>
      </c>
      <c r="G39" s="8">
        <v>152</v>
      </c>
      <c r="H39" s="8">
        <v>158</v>
      </c>
      <c r="I39" s="8">
        <v>147</v>
      </c>
      <c r="J39" s="8">
        <v>118</v>
      </c>
      <c r="K39" s="8">
        <v>104</v>
      </c>
      <c r="L39" s="8">
        <v>186</v>
      </c>
      <c r="M39" s="8">
        <v>198</v>
      </c>
      <c r="N39" s="8">
        <v>234</v>
      </c>
      <c r="O39" s="8">
        <v>188</v>
      </c>
      <c r="P39" s="8">
        <v>181</v>
      </c>
      <c r="Q39" s="8">
        <v>1</v>
      </c>
    </row>
    <row r="40" spans="5:17" x14ac:dyDescent="0.3">
      <c r="E40" s="5" t="s">
        <v>11</v>
      </c>
      <c r="F40" s="8">
        <v>30</v>
      </c>
      <c r="G40" s="8">
        <v>46</v>
      </c>
      <c r="H40" s="8">
        <v>35</v>
      </c>
      <c r="I40" s="8">
        <v>38</v>
      </c>
      <c r="J40" s="8">
        <v>30</v>
      </c>
      <c r="K40" s="8">
        <v>29</v>
      </c>
      <c r="L40" s="8">
        <v>43</v>
      </c>
      <c r="M40" s="8">
        <v>48</v>
      </c>
      <c r="N40" s="8">
        <v>76</v>
      </c>
      <c r="O40" s="8">
        <v>59</v>
      </c>
      <c r="P40" s="8">
        <v>71</v>
      </c>
      <c r="Q40" s="8">
        <v>346</v>
      </c>
    </row>
    <row r="41" spans="5:17" x14ac:dyDescent="0.3">
      <c r="E41" s="5" t="s">
        <v>10</v>
      </c>
      <c r="F41" s="8">
        <v>0</v>
      </c>
      <c r="G41" s="8">
        <v>0</v>
      </c>
      <c r="H41" s="8">
        <v>0</v>
      </c>
      <c r="I41" s="8">
        <v>0</v>
      </c>
      <c r="J41" s="8">
        <v>6</v>
      </c>
      <c r="K41" s="8">
        <v>4</v>
      </c>
      <c r="L41" s="8">
        <v>3</v>
      </c>
      <c r="M41" s="8">
        <v>4</v>
      </c>
      <c r="N41" s="8">
        <v>5</v>
      </c>
      <c r="O41" s="8">
        <v>3</v>
      </c>
      <c r="P41" s="8">
        <v>3</v>
      </c>
      <c r="Q41" s="8">
        <v>24</v>
      </c>
    </row>
    <row r="42" spans="5:17" x14ac:dyDescent="0.3">
      <c r="E42" s="5" t="s">
        <v>9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2</v>
      </c>
      <c r="L42" s="8">
        <v>0</v>
      </c>
      <c r="M42" s="8">
        <v>2</v>
      </c>
      <c r="N42" s="8">
        <v>2</v>
      </c>
      <c r="O42" s="8">
        <v>2</v>
      </c>
      <c r="P42" s="8">
        <v>3</v>
      </c>
      <c r="Q42" s="8">
        <v>59</v>
      </c>
    </row>
    <row r="43" spans="5:17" x14ac:dyDescent="0.3">
      <c r="E43" s="25" t="s">
        <v>8</v>
      </c>
      <c r="F43" s="8">
        <v>12</v>
      </c>
      <c r="G43" s="8">
        <v>12</v>
      </c>
      <c r="H43" s="8">
        <v>32</v>
      </c>
      <c r="I43" s="8">
        <v>8</v>
      </c>
      <c r="J43" s="8">
        <v>4</v>
      </c>
      <c r="K43" s="8">
        <v>19</v>
      </c>
      <c r="L43" s="8">
        <v>23</v>
      </c>
      <c r="M43" s="8">
        <v>32</v>
      </c>
      <c r="N43" s="8">
        <v>28</v>
      </c>
      <c r="O43" s="8">
        <v>25</v>
      </c>
      <c r="P43" s="8">
        <v>14</v>
      </c>
      <c r="Q43" s="8">
        <v>176</v>
      </c>
    </row>
    <row r="44" spans="5:17" x14ac:dyDescent="0.3">
      <c r="E44" s="5" t="s">
        <v>6</v>
      </c>
      <c r="F44" s="38">
        <v>2292517.66</v>
      </c>
      <c r="G44" s="24">
        <v>2212034.64</v>
      </c>
      <c r="H44" s="24">
        <v>2159757.19</v>
      </c>
      <c r="I44" s="24">
        <v>2178861.08</v>
      </c>
      <c r="J44" s="24">
        <v>2172610.65</v>
      </c>
      <c r="K44" s="24">
        <v>2195642.5699999877</v>
      </c>
      <c r="L44" s="24">
        <v>3021921.4899999104</v>
      </c>
      <c r="M44" s="24">
        <v>3409605.0499999225</v>
      </c>
      <c r="N44" s="24">
        <v>3525460.9299999317</v>
      </c>
      <c r="O44" s="24">
        <v>3671106.1199999764</v>
      </c>
      <c r="P44" s="24">
        <v>3703054.400000005</v>
      </c>
      <c r="Q44" s="8">
        <v>3703759.5000000005</v>
      </c>
    </row>
    <row r="45" spans="5:17" x14ac:dyDescent="0.3">
      <c r="E45" s="5" t="s">
        <v>5</v>
      </c>
      <c r="F45" s="38">
        <v>2230723.25</v>
      </c>
      <c r="G45" s="24">
        <v>2172352.0699999998</v>
      </c>
      <c r="H45" s="24">
        <v>2114782.7200000002</v>
      </c>
      <c r="I45" s="24">
        <v>2140522.1599999997</v>
      </c>
      <c r="J45" s="24">
        <v>2128008.29</v>
      </c>
      <c r="K45" s="24">
        <v>2002895.1099999873</v>
      </c>
      <c r="L45" s="24">
        <v>2727192.3899999098</v>
      </c>
      <c r="M45" s="24">
        <v>3011681.3399999212</v>
      </c>
      <c r="N45" s="24">
        <v>3110031.5399999307</v>
      </c>
      <c r="O45" s="24">
        <v>3150143.5299999765</v>
      </c>
      <c r="P45" s="24">
        <v>3244385.7900000047</v>
      </c>
      <c r="Q45" s="8">
        <v>3134220.1</v>
      </c>
    </row>
    <row r="46" spans="5:17" x14ac:dyDescent="0.3">
      <c r="E46" s="5" t="s">
        <v>4</v>
      </c>
      <c r="F46" s="9">
        <v>2.6954823981595877E-2</v>
      </c>
      <c r="G46" s="9">
        <v>1.7939398091885383E-2</v>
      </c>
      <c r="H46" s="9">
        <v>2.0823854740819159E-2</v>
      </c>
      <c r="I46" s="9">
        <v>1.7595853334532174E-2</v>
      </c>
      <c r="J46" s="9">
        <v>2.0529384774948034E-2</v>
      </c>
      <c r="K46" s="9">
        <v>8.7786355863924359E-2</v>
      </c>
      <c r="L46" s="9">
        <v>9.7530363040639223E-2</v>
      </c>
      <c r="M46" s="9">
        <v>0.11670668718654387</v>
      </c>
      <c r="N46" s="9">
        <v>0.11783690083327891</v>
      </c>
      <c r="O46" s="9">
        <v>0.1419088887574852</v>
      </c>
      <c r="P46" s="9">
        <v>0.123862239236885</v>
      </c>
      <c r="Q46" s="9">
        <v>0.15377332140491307</v>
      </c>
    </row>
    <row r="47" spans="5:17" x14ac:dyDescent="0.3">
      <c r="E47" s="5" t="s">
        <v>3</v>
      </c>
      <c r="F47" s="8">
        <v>125</v>
      </c>
      <c r="G47" s="8">
        <v>226</v>
      </c>
      <c r="H47" s="8">
        <v>192</v>
      </c>
      <c r="I47" s="8">
        <v>368</v>
      </c>
      <c r="J47" s="8">
        <v>285</v>
      </c>
      <c r="K47" s="8">
        <v>260</v>
      </c>
      <c r="L47" s="8">
        <v>3114</v>
      </c>
      <c r="M47" s="8">
        <v>1806</v>
      </c>
      <c r="N47" s="8">
        <v>1077</v>
      </c>
      <c r="O47" s="8">
        <v>958</v>
      </c>
      <c r="P47" s="8">
        <v>688</v>
      </c>
      <c r="Q47" s="8">
        <v>540</v>
      </c>
    </row>
    <row r="48" spans="5:17" x14ac:dyDescent="0.3">
      <c r="E48" s="5" t="s">
        <v>2</v>
      </c>
      <c r="F48" s="24">
        <v>402.2666537989121</v>
      </c>
      <c r="G48" s="24">
        <v>398.06273888788917</v>
      </c>
      <c r="H48" s="24">
        <v>396.14035033015404</v>
      </c>
      <c r="I48" s="24">
        <v>397.74755020080323</v>
      </c>
      <c r="J48" s="24">
        <v>391.10902790279027</v>
      </c>
      <c r="K48" s="24">
        <v>394.82873044416249</v>
      </c>
      <c r="L48" s="24">
        <v>361.12828513383249</v>
      </c>
      <c r="M48" s="24">
        <v>346.36377996748502</v>
      </c>
      <c r="N48" s="24">
        <v>341.87945403412834</v>
      </c>
      <c r="O48" s="24">
        <v>345.77621927097829</v>
      </c>
      <c r="P48" s="24">
        <v>350.86738677278805</v>
      </c>
      <c r="Q48" s="24">
        <v>351.73404558404565</v>
      </c>
    </row>
    <row r="49" spans="1:20" x14ac:dyDescent="0.3">
      <c r="E49" s="5" t="s">
        <v>1</v>
      </c>
      <c r="F49" s="23">
        <v>164638.13888500014</v>
      </c>
      <c r="G49" s="23">
        <v>100799.0701</v>
      </c>
      <c r="H49" s="23">
        <v>80492.498700000026</v>
      </c>
      <c r="I49" s="23">
        <v>93555.795700000148</v>
      </c>
      <c r="J49" s="23">
        <v>104017.45739999996</v>
      </c>
      <c r="K49" s="23">
        <v>93556.627399999954</v>
      </c>
      <c r="L49" s="23">
        <v>79971.420400000003</v>
      </c>
      <c r="M49" s="23">
        <v>382920.58229999995</v>
      </c>
      <c r="N49" s="23">
        <v>308953.61219999986</v>
      </c>
      <c r="O49" s="23">
        <v>204234.09999999992</v>
      </c>
      <c r="P49" s="23">
        <v>182757.99000000002</v>
      </c>
      <c r="Q49" s="23">
        <v>156936.00849999979</v>
      </c>
    </row>
    <row r="50" spans="1:20" x14ac:dyDescent="0.3">
      <c r="E50" s="5" t="s">
        <v>0</v>
      </c>
      <c r="F50" s="23">
        <v>13045.249999999996</v>
      </c>
      <c r="G50" s="23">
        <v>15095.819999999998</v>
      </c>
      <c r="H50" s="23">
        <v>47492.860000000037</v>
      </c>
      <c r="I50" s="23">
        <v>60373.700000000026</v>
      </c>
      <c r="J50" s="23">
        <v>110643.91000000005</v>
      </c>
      <c r="K50" s="23">
        <v>79835.630000000019</v>
      </c>
      <c r="L50" s="23">
        <v>81115.03</v>
      </c>
      <c r="M50" s="23">
        <v>811669.51000000618</v>
      </c>
      <c r="N50" s="23">
        <v>553813.86000000127</v>
      </c>
      <c r="O50" s="23">
        <v>270997.04000000004</v>
      </c>
      <c r="P50" s="23">
        <v>194673.69999999995</v>
      </c>
      <c r="Q50" s="23">
        <v>125219.50999999998</v>
      </c>
    </row>
    <row r="51" spans="1:20" ht="4.95" customHeight="1" x14ac:dyDescent="0.3">
      <c r="A51" s="2"/>
      <c r="B51" s="2"/>
      <c r="C51" s="2"/>
      <c r="E51" s="29"/>
      <c r="F51" s="30"/>
      <c r="G51" s="29"/>
      <c r="H51" s="29"/>
      <c r="I51" s="29"/>
      <c r="J51" s="29"/>
      <c r="K51" s="29"/>
      <c r="L51" s="29"/>
      <c r="M51" s="2"/>
      <c r="N51" s="2"/>
      <c r="O51" s="2"/>
      <c r="P51" s="2"/>
      <c r="Q51" s="2"/>
      <c r="S51" s="28"/>
      <c r="T51" s="28"/>
    </row>
    <row r="52" spans="1:20" x14ac:dyDescent="0.3">
      <c r="E52" s="15" t="s">
        <v>33</v>
      </c>
      <c r="F52" s="15" t="s">
        <v>32</v>
      </c>
      <c r="G52" s="15" t="s">
        <v>31</v>
      </c>
      <c r="H52" s="15" t="s">
        <v>30</v>
      </c>
      <c r="I52" s="15" t="s">
        <v>29</v>
      </c>
      <c r="J52" s="15" t="s">
        <v>28</v>
      </c>
      <c r="K52" s="15" t="s">
        <v>27</v>
      </c>
      <c r="L52" s="15" t="s">
        <v>26</v>
      </c>
      <c r="M52" s="15" t="s">
        <v>25</v>
      </c>
      <c r="N52" s="15" t="s">
        <v>24</v>
      </c>
      <c r="O52" s="15" t="s">
        <v>23</v>
      </c>
      <c r="P52" s="15" t="s">
        <v>22</v>
      </c>
      <c r="Q52" s="15" t="s">
        <v>21</v>
      </c>
      <c r="T52" s="1" t="s">
        <v>45</v>
      </c>
    </row>
    <row r="53" spans="1:20" x14ac:dyDescent="0.3">
      <c r="E53" s="5" t="s">
        <v>19</v>
      </c>
      <c r="F53" s="8">
        <v>7139</v>
      </c>
      <c r="G53" s="8">
        <v>6910</v>
      </c>
      <c r="H53" s="8">
        <v>6656</v>
      </c>
      <c r="I53" s="8">
        <v>6392</v>
      </c>
      <c r="J53" s="8">
        <v>6207</v>
      </c>
      <c r="K53" s="8">
        <v>6058</v>
      </c>
      <c r="L53" s="8">
        <v>5899</v>
      </c>
      <c r="M53" s="8">
        <v>5812</v>
      </c>
      <c r="N53" s="8">
        <v>4751</v>
      </c>
      <c r="O53" s="8">
        <v>28</v>
      </c>
      <c r="P53" s="13">
        <v>41</v>
      </c>
      <c r="Q53" s="13">
        <f>SUM(Q54:Q55)</f>
        <v>40</v>
      </c>
    </row>
    <row r="54" spans="1:20" x14ac:dyDescent="0.3">
      <c r="E54" s="14" t="s">
        <v>41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13">
        <v>0</v>
      </c>
      <c r="Q54" s="8">
        <v>0</v>
      </c>
    </row>
    <row r="55" spans="1:20" x14ac:dyDescent="0.3">
      <c r="E55" s="14" t="s">
        <v>40</v>
      </c>
      <c r="F55" s="8">
        <v>7131</v>
      </c>
      <c r="G55" s="8">
        <v>6901</v>
      </c>
      <c r="H55" s="8">
        <v>6647</v>
      </c>
      <c r="I55" s="8">
        <v>6383</v>
      </c>
      <c r="J55" s="8">
        <v>6198</v>
      </c>
      <c r="K55" s="8">
        <v>6050</v>
      </c>
      <c r="L55" s="8">
        <v>5890</v>
      </c>
      <c r="M55" s="8">
        <v>5803</v>
      </c>
      <c r="N55" s="8">
        <v>4742</v>
      </c>
      <c r="O55" s="8">
        <v>28</v>
      </c>
      <c r="P55" s="13">
        <v>41</v>
      </c>
      <c r="Q55" s="13">
        <v>40</v>
      </c>
    </row>
    <row r="56" spans="1:20" x14ac:dyDescent="0.3">
      <c r="E56" s="5" t="s">
        <v>39</v>
      </c>
      <c r="F56" s="8">
        <v>345</v>
      </c>
      <c r="G56" s="8">
        <v>344</v>
      </c>
      <c r="H56" s="8">
        <v>414</v>
      </c>
      <c r="I56" s="8">
        <v>307</v>
      </c>
      <c r="J56" s="8">
        <f>SUM(J59:J64)</f>
        <v>291</v>
      </c>
      <c r="K56" s="8">
        <f>SUM(K59:K64)</f>
        <v>231</v>
      </c>
      <c r="L56" s="8">
        <f>SUM(L59:L64)</f>
        <v>248</v>
      </c>
      <c r="M56" s="8">
        <f>SUM(M59:M64)</f>
        <v>272</v>
      </c>
      <c r="N56" s="8">
        <f>SUM(N59:N64)</f>
        <v>1056</v>
      </c>
      <c r="O56" s="8">
        <f>SUM(O59:O64)</f>
        <v>4689</v>
      </c>
      <c r="P56" s="8">
        <f>SUM(P59:P64)</f>
        <v>3</v>
      </c>
      <c r="Q56" s="8">
        <f>SUM(Q59:Q64)</f>
        <v>5</v>
      </c>
      <c r="T56" s="37"/>
    </row>
    <row r="57" spans="1:20" x14ac:dyDescent="0.3">
      <c r="E57" s="5" t="s">
        <v>15</v>
      </c>
      <c r="F57" s="8">
        <v>22</v>
      </c>
      <c r="G57" s="8">
        <v>14</v>
      </c>
      <c r="H57" s="8">
        <v>6</v>
      </c>
      <c r="I57" s="8">
        <v>6</v>
      </c>
      <c r="J57" s="8">
        <v>11</v>
      </c>
      <c r="K57" s="8">
        <v>17</v>
      </c>
      <c r="L57" s="8">
        <v>12</v>
      </c>
      <c r="M57" s="8">
        <v>6</v>
      </c>
      <c r="N57" s="8">
        <v>4</v>
      </c>
      <c r="O57" s="8">
        <v>1</v>
      </c>
      <c r="P57" s="8">
        <v>0</v>
      </c>
      <c r="Q57" s="8">
        <v>0</v>
      </c>
      <c r="T57" s="37"/>
    </row>
    <row r="58" spans="1:20" x14ac:dyDescent="0.3">
      <c r="E58" s="5" t="s">
        <v>14</v>
      </c>
      <c r="F58" s="10">
        <v>4.7079694323144107E-2</v>
      </c>
      <c r="G58" s="10">
        <f>IFERROR((G56/F53),0)</f>
        <v>4.8186020451043567E-2</v>
      </c>
      <c r="H58" s="36">
        <f>IFERROR((H56/G53),0)</f>
        <v>5.9913169319826341E-2</v>
      </c>
      <c r="I58" s="10">
        <f>IFERROR((I56/H53),0)</f>
        <v>4.612379807692308E-2</v>
      </c>
      <c r="J58" s="10">
        <f>IFERROR((J56/I53),0)</f>
        <v>4.5525657071339175E-2</v>
      </c>
      <c r="K58" s="10">
        <f>IFERROR((K56/J53),0)</f>
        <v>3.7216046399226682E-2</v>
      </c>
      <c r="L58" s="10">
        <f>IFERROR((L56/K53),0)</f>
        <v>4.0937603169362825E-2</v>
      </c>
      <c r="M58" s="10">
        <f>IFERROR((M56/L53),0)</f>
        <v>4.6109510086455328E-2</v>
      </c>
      <c r="N58" s="10">
        <f>IFERROR((N56/M53),0)</f>
        <v>0.18169304886441845</v>
      </c>
      <c r="O58" s="10">
        <f>IFERROR((O56/N53),0)</f>
        <v>0.98695011576510205</v>
      </c>
      <c r="P58" s="10">
        <f>IFERROR((P56/O53),0)</f>
        <v>0.10714285714285714</v>
      </c>
      <c r="Q58" s="10">
        <f>IFERROR((Q56/P53),0)</f>
        <v>0.12195121951219512</v>
      </c>
    </row>
    <row r="59" spans="1:20" x14ac:dyDescent="0.3">
      <c r="E59" s="5" t="s">
        <v>13</v>
      </c>
      <c r="F59" s="8">
        <v>128</v>
      </c>
      <c r="G59" s="8">
        <v>149</v>
      </c>
      <c r="H59" s="8">
        <v>207</v>
      </c>
      <c r="I59" s="8">
        <v>155</v>
      </c>
      <c r="J59" s="8">
        <v>112</v>
      </c>
      <c r="K59" s="8">
        <v>103</v>
      </c>
      <c r="L59" s="8">
        <v>103</v>
      </c>
      <c r="M59" s="8">
        <v>91</v>
      </c>
      <c r="N59" s="8">
        <v>102</v>
      </c>
      <c r="O59" s="8">
        <v>163</v>
      </c>
      <c r="P59" s="8">
        <v>0</v>
      </c>
      <c r="Q59" s="8">
        <v>0</v>
      </c>
    </row>
    <row r="60" spans="1:20" x14ac:dyDescent="0.3">
      <c r="E60" s="5" t="s">
        <v>12</v>
      </c>
      <c r="F60" s="8">
        <v>165</v>
      </c>
      <c r="G60" s="8">
        <v>139</v>
      </c>
      <c r="H60" s="8">
        <v>143</v>
      </c>
      <c r="I60" s="8">
        <v>102</v>
      </c>
      <c r="J60" s="8">
        <v>148</v>
      </c>
      <c r="K60" s="8">
        <v>92</v>
      </c>
      <c r="L60" s="8">
        <v>85</v>
      </c>
      <c r="M60" s="8">
        <v>139</v>
      </c>
      <c r="N60" s="8">
        <v>847</v>
      </c>
      <c r="O60" s="8">
        <v>1015</v>
      </c>
      <c r="P60" s="8">
        <v>0</v>
      </c>
      <c r="Q60" s="8">
        <v>5</v>
      </c>
    </row>
    <row r="61" spans="1:20" x14ac:dyDescent="0.3">
      <c r="E61" s="5" t="s">
        <v>11</v>
      </c>
      <c r="F61" s="8">
        <v>6</v>
      </c>
      <c r="G61" s="8">
        <v>4</v>
      </c>
      <c r="H61" s="8">
        <v>13</v>
      </c>
      <c r="I61" s="8">
        <v>17</v>
      </c>
      <c r="J61" s="8">
        <v>17</v>
      </c>
      <c r="K61" s="8">
        <v>14</v>
      </c>
      <c r="L61" s="8">
        <v>14</v>
      </c>
      <c r="M61" s="8">
        <v>21</v>
      </c>
      <c r="N61" s="8">
        <v>74</v>
      </c>
      <c r="O61" s="8">
        <v>168</v>
      </c>
      <c r="P61" s="8">
        <v>0</v>
      </c>
      <c r="Q61" s="8">
        <v>0</v>
      </c>
    </row>
    <row r="62" spans="1:20" x14ac:dyDescent="0.3">
      <c r="E62" s="5" t="s">
        <v>43</v>
      </c>
      <c r="F62" s="8">
        <v>0</v>
      </c>
      <c r="G62" s="8">
        <v>0</v>
      </c>
      <c r="H62" s="8">
        <v>0</v>
      </c>
      <c r="I62" s="8">
        <v>0</v>
      </c>
      <c r="J62" s="8">
        <v>7</v>
      </c>
      <c r="K62" s="8">
        <v>1</v>
      </c>
      <c r="L62" s="8">
        <v>1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</row>
    <row r="63" spans="1:20" x14ac:dyDescent="0.3">
      <c r="E63" s="5" t="s">
        <v>42</v>
      </c>
      <c r="F63" s="8">
        <v>0</v>
      </c>
      <c r="G63" s="8">
        <v>0</v>
      </c>
      <c r="H63" s="8">
        <v>0</v>
      </c>
      <c r="I63" s="8">
        <v>0</v>
      </c>
      <c r="J63" s="8">
        <v>2</v>
      </c>
      <c r="K63" s="8">
        <v>1</v>
      </c>
      <c r="L63" s="8">
        <v>0</v>
      </c>
      <c r="M63" s="8">
        <v>0</v>
      </c>
      <c r="N63" s="8">
        <v>0</v>
      </c>
      <c r="O63" s="8">
        <v>1</v>
      </c>
      <c r="P63" s="8">
        <v>0</v>
      </c>
      <c r="Q63" s="8">
        <v>0</v>
      </c>
    </row>
    <row r="64" spans="1:20" x14ac:dyDescent="0.3">
      <c r="E64" s="25" t="s">
        <v>35</v>
      </c>
      <c r="F64" s="8">
        <v>46</v>
      </c>
      <c r="G64" s="8">
        <v>52</v>
      </c>
      <c r="H64" s="8">
        <v>51</v>
      </c>
      <c r="I64" s="8">
        <v>33</v>
      </c>
      <c r="J64" s="8">
        <v>5</v>
      </c>
      <c r="K64" s="8">
        <v>20</v>
      </c>
      <c r="L64" s="8">
        <v>45</v>
      </c>
      <c r="M64" s="8">
        <v>21</v>
      </c>
      <c r="N64" s="8">
        <v>33</v>
      </c>
      <c r="O64" s="8">
        <v>3342</v>
      </c>
      <c r="P64" s="8">
        <v>3</v>
      </c>
      <c r="Q64" s="8">
        <v>0</v>
      </c>
    </row>
    <row r="65" spans="1:20" x14ac:dyDescent="0.3">
      <c r="E65" s="5" t="s">
        <v>6</v>
      </c>
      <c r="F65" s="24">
        <v>2538307.9099999997</v>
      </c>
      <c r="G65" s="24">
        <v>2480817.2100000004</v>
      </c>
      <c r="H65" s="24">
        <v>2405721.0900000003</v>
      </c>
      <c r="I65" s="24">
        <v>2316979.9699999997</v>
      </c>
      <c r="J65" s="24">
        <v>2237675.1</v>
      </c>
      <c r="K65" s="24">
        <v>2193471.9399999673</v>
      </c>
      <c r="L65" s="24">
        <v>2144085.0799999693</v>
      </c>
      <c r="M65" s="24">
        <v>2123182.949999969</v>
      </c>
      <c r="N65" s="24">
        <v>1814135.8599999719</v>
      </c>
      <c r="O65" s="24">
        <v>900381.1400000006</v>
      </c>
      <c r="P65" s="24">
        <v>82670.140000001993</v>
      </c>
      <c r="Q65" s="8">
        <v>89947.420000000275</v>
      </c>
    </row>
    <row r="66" spans="1:20" x14ac:dyDescent="0.3">
      <c r="E66" s="5" t="s">
        <v>5</v>
      </c>
      <c r="F66" s="24">
        <v>2425381.4200000004</v>
      </c>
      <c r="G66" s="24">
        <v>2345454.4300000002</v>
      </c>
      <c r="H66" s="24">
        <v>2273011.4700000002</v>
      </c>
      <c r="I66" s="24">
        <v>2214375.63</v>
      </c>
      <c r="J66" s="24">
        <v>2149935.0699999998</v>
      </c>
      <c r="K66" s="24">
        <v>2047880.8199999672</v>
      </c>
      <c r="L66" s="24">
        <v>1981755.3499999691</v>
      </c>
      <c r="M66" s="24">
        <v>1958141.9999999693</v>
      </c>
      <c r="N66" s="24">
        <v>1521280.6899999732</v>
      </c>
      <c r="O66" s="24">
        <v>596344.27000000014</v>
      </c>
      <c r="P66" s="24">
        <v>43141.29000000075</v>
      </c>
      <c r="Q66" s="8">
        <v>39713.540000000045</v>
      </c>
    </row>
    <row r="67" spans="1:20" x14ac:dyDescent="0.3">
      <c r="E67" s="5" t="s">
        <v>4</v>
      </c>
      <c r="F67" s="9">
        <f>IFERROR((1-F66/F65),0)</f>
        <v>4.448888551113539E-2</v>
      </c>
      <c r="G67" s="9">
        <f>IFERROR((1-G66/G65),0)</f>
        <v>5.4563786261382918E-2</v>
      </c>
      <c r="H67" s="9">
        <f>IFERROR((1-H66/H65),0)</f>
        <v>5.5164175328404341E-2</v>
      </c>
      <c r="I67" s="9">
        <f>IFERROR((1-I66/I65),0)</f>
        <v>4.4283654295034669E-2</v>
      </c>
      <c r="J67" s="9">
        <f>IFERROR((1-J66/J65),0)</f>
        <v>3.9210352745132737E-2</v>
      </c>
      <c r="K67" s="9">
        <f>IFERROR((1-K66/K65),0)</f>
        <v>6.6374735571042787E-2</v>
      </c>
      <c r="L67" s="9">
        <f>IFERROR((1-L66/L65),0)</f>
        <v>7.5710489063243069E-2</v>
      </c>
      <c r="M67" s="9">
        <f>IFERROR((1-M66/M65),0)</f>
        <v>7.7732797355028693E-2</v>
      </c>
      <c r="N67" s="9">
        <f>IFERROR((1-N66/N65),0)</f>
        <v>0.16142956900703309</v>
      </c>
      <c r="O67" s="9">
        <f>IFERROR((1-O66/O65),0)</f>
        <v>0.33767574251944044</v>
      </c>
      <c r="P67" s="9">
        <f>IFERROR((1-P66/P65),0)</f>
        <v>0.47815148250626271</v>
      </c>
      <c r="Q67" s="9">
        <f>IFERROR((1-Q66/Q65),0)</f>
        <v>0.55848049894038176</v>
      </c>
    </row>
    <row r="68" spans="1:20" x14ac:dyDescent="0.3">
      <c r="E68" s="5" t="s">
        <v>3</v>
      </c>
      <c r="F68" s="8">
        <v>118</v>
      </c>
      <c r="G68" s="8">
        <v>142</v>
      </c>
      <c r="H68" s="8">
        <v>76</v>
      </c>
      <c r="I68" s="8">
        <v>82</v>
      </c>
      <c r="J68" s="8">
        <v>68</v>
      </c>
      <c r="K68" s="8">
        <v>79</v>
      </c>
      <c r="L68" s="8">
        <v>79</v>
      </c>
      <c r="M68" s="8">
        <v>160</v>
      </c>
      <c r="N68" s="8">
        <v>3</v>
      </c>
      <c r="O68" s="8">
        <v>0</v>
      </c>
      <c r="P68" s="8">
        <v>2</v>
      </c>
      <c r="Q68" s="8">
        <v>0</v>
      </c>
    </row>
    <row r="69" spans="1:20" x14ac:dyDescent="0.3">
      <c r="E69" s="5" t="s">
        <v>2</v>
      </c>
      <c r="F69" s="24">
        <f>F65/F53</f>
        <v>355.55510715786522</v>
      </c>
      <c r="G69" s="24">
        <f>G65/G53</f>
        <v>359.01840955137487</v>
      </c>
      <c r="H69" s="24">
        <f>H65/H53</f>
        <v>361.43646183894236</v>
      </c>
      <c r="I69" s="24">
        <f>I65/I53</f>
        <v>362.48122183979973</v>
      </c>
      <c r="J69" s="24">
        <f>J65/J53</f>
        <v>360.5083131947801</v>
      </c>
      <c r="K69" s="24">
        <f>K65/K53</f>
        <v>362.0785638824641</v>
      </c>
      <c r="L69" s="24">
        <f>L65/L53</f>
        <v>363.46585522969474</v>
      </c>
      <c r="M69" s="24">
        <f>M65/M53</f>
        <v>365.31021163110273</v>
      </c>
      <c r="N69" s="24">
        <f>N65/N53</f>
        <v>381.84295095768721</v>
      </c>
      <c r="O69" s="24">
        <f>O65/O53</f>
        <v>32156.469285714305</v>
      </c>
      <c r="P69" s="24">
        <f>P65/P53</f>
        <v>2016.3448780488291</v>
      </c>
      <c r="Q69" s="24">
        <f>Q65/Q53</f>
        <v>2248.6855000000069</v>
      </c>
    </row>
    <row r="70" spans="1:20" x14ac:dyDescent="0.3">
      <c r="E70" s="5" t="s">
        <v>1</v>
      </c>
      <c r="F70" s="23">
        <v>110546.0828945002</v>
      </c>
      <c r="G70" s="23">
        <v>52569.405499999964</v>
      </c>
      <c r="H70" s="23">
        <v>42762.865859999991</v>
      </c>
      <c r="I70" s="23">
        <v>45102.617300000005</v>
      </c>
      <c r="J70" s="23">
        <v>32160.384400000003</v>
      </c>
      <c r="K70" s="23">
        <v>30992.527799999963</v>
      </c>
      <c r="L70" s="23">
        <v>33824.279600000009</v>
      </c>
      <c r="M70" s="23">
        <v>33702.969099999973</v>
      </c>
      <c r="N70" s="23">
        <v>42174.953900000044</v>
      </c>
      <c r="O70" s="23">
        <v>17112.570000000003</v>
      </c>
      <c r="P70" s="23">
        <v>35.100000000000009</v>
      </c>
      <c r="Q70" s="23">
        <v>26.600500000000004</v>
      </c>
    </row>
    <row r="71" spans="1:20" x14ac:dyDescent="0.3">
      <c r="E71" s="5" t="s">
        <v>0</v>
      </c>
      <c r="F71" s="23">
        <v>24018.479999999996</v>
      </c>
      <c r="G71" s="23">
        <v>8122.24</v>
      </c>
      <c r="H71" s="23">
        <v>16271.02</v>
      </c>
      <c r="I71" s="23">
        <v>9240</v>
      </c>
      <c r="J71" s="23">
        <v>9000</v>
      </c>
      <c r="K71" s="23">
        <v>6720</v>
      </c>
      <c r="L71" s="23">
        <v>14580</v>
      </c>
      <c r="M71" s="23">
        <v>16280</v>
      </c>
      <c r="N71" s="23">
        <v>17120</v>
      </c>
      <c r="O71" s="23">
        <v>880</v>
      </c>
      <c r="P71" s="23">
        <v>0</v>
      </c>
      <c r="Q71" s="23">
        <v>0</v>
      </c>
    </row>
    <row r="72" spans="1:20" ht="4.95" customHeight="1" x14ac:dyDescent="0.3">
      <c r="A72" s="2"/>
      <c r="B72" s="2"/>
      <c r="C72" s="2"/>
      <c r="E72" s="29"/>
      <c r="F72" s="30"/>
      <c r="G72" s="29"/>
      <c r="H72" s="29"/>
      <c r="I72" s="29"/>
      <c r="J72" s="29"/>
      <c r="K72" s="29"/>
      <c r="L72" s="29"/>
      <c r="M72" s="2"/>
      <c r="N72" s="2"/>
      <c r="O72" s="2"/>
      <c r="P72" s="2"/>
      <c r="Q72" s="2"/>
      <c r="S72" s="28"/>
      <c r="T72" s="28"/>
    </row>
    <row r="73" spans="1:20" x14ac:dyDescent="0.3">
      <c r="E73" s="15" t="s">
        <v>33</v>
      </c>
      <c r="F73" s="15" t="s">
        <v>32</v>
      </c>
      <c r="G73" s="15" t="s">
        <v>31</v>
      </c>
      <c r="H73" s="15" t="s">
        <v>30</v>
      </c>
      <c r="I73" s="15" t="s">
        <v>29</v>
      </c>
      <c r="J73" s="15" t="s">
        <v>28</v>
      </c>
      <c r="K73" s="15" t="s">
        <v>27</v>
      </c>
      <c r="L73" s="15" t="s">
        <v>26</v>
      </c>
      <c r="M73" s="15" t="s">
        <v>25</v>
      </c>
      <c r="N73" s="15" t="s">
        <v>24</v>
      </c>
      <c r="O73" s="15" t="s">
        <v>23</v>
      </c>
      <c r="P73" s="15" t="s">
        <v>22</v>
      </c>
      <c r="Q73" s="15" t="s">
        <v>21</v>
      </c>
    </row>
    <row r="74" spans="1:20" x14ac:dyDescent="0.3">
      <c r="E74" s="5" t="s">
        <v>19</v>
      </c>
      <c r="F74" s="8">
        <f>SUM(F75:F76)</f>
        <v>73</v>
      </c>
      <c r="G74" s="8">
        <f>SUM(G75:G76)</f>
        <v>79</v>
      </c>
      <c r="H74" s="8">
        <f>SUM(H75:H76)</f>
        <v>81</v>
      </c>
      <c r="I74" s="8">
        <f>SUM(I75:I76)</f>
        <v>88</v>
      </c>
      <c r="J74" s="8">
        <f>SUM(J75:J76)</f>
        <v>128</v>
      </c>
      <c r="K74" s="8">
        <f>SUM(K75:K76)</f>
        <v>162</v>
      </c>
      <c r="L74" s="8">
        <f>SUM(L75:L76)</f>
        <v>191</v>
      </c>
      <c r="M74" s="8">
        <f>SUM(M75:M76)</f>
        <v>220</v>
      </c>
      <c r="N74" s="8">
        <f>SUM(N75:N76)</f>
        <v>238</v>
      </c>
      <c r="O74" s="8">
        <f>SUM(O75:O76)</f>
        <v>247</v>
      </c>
      <c r="P74" s="8">
        <f>SUM(P75:P76)</f>
        <v>265</v>
      </c>
      <c r="Q74" s="8">
        <f>SUM(Q75:Q76)</f>
        <v>324</v>
      </c>
    </row>
    <row r="75" spans="1:20" x14ac:dyDescent="0.3">
      <c r="E75" s="14" t="s">
        <v>41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8">
        <v>0</v>
      </c>
      <c r="O75" s="8">
        <v>0</v>
      </c>
      <c r="P75" s="8">
        <v>0</v>
      </c>
      <c r="Q75" s="8">
        <v>0</v>
      </c>
    </row>
    <row r="76" spans="1:20" x14ac:dyDescent="0.3">
      <c r="E76" s="14" t="s">
        <v>40</v>
      </c>
      <c r="F76" s="8">
        <v>73</v>
      </c>
      <c r="G76" s="8">
        <v>79</v>
      </c>
      <c r="H76" s="8">
        <v>81</v>
      </c>
      <c r="I76" s="8">
        <v>88</v>
      </c>
      <c r="J76" s="8">
        <v>128</v>
      </c>
      <c r="K76" s="8">
        <v>162</v>
      </c>
      <c r="L76" s="8">
        <v>191</v>
      </c>
      <c r="M76" s="8">
        <v>220</v>
      </c>
      <c r="N76" s="8">
        <v>238</v>
      </c>
      <c r="O76" s="8">
        <v>247</v>
      </c>
      <c r="P76" s="8">
        <v>265</v>
      </c>
      <c r="Q76" s="8">
        <v>324</v>
      </c>
    </row>
    <row r="77" spans="1:20" x14ac:dyDescent="0.3">
      <c r="E77" s="5" t="s">
        <v>39</v>
      </c>
      <c r="F77" s="8">
        <f>SUM(F80:F82)</f>
        <v>6</v>
      </c>
      <c r="G77" s="8">
        <f>SUM(G80:G82)</f>
        <v>7</v>
      </c>
      <c r="H77" s="8">
        <f>SUM(H80:H82)</f>
        <v>8</v>
      </c>
      <c r="I77" s="8">
        <f>SUM(I80:I82)</f>
        <v>8</v>
      </c>
      <c r="J77" s="8">
        <f>SUM(J80:J82)</f>
        <v>10</v>
      </c>
      <c r="K77" s="8">
        <f>SUM(K80:K82)</f>
        <v>5</v>
      </c>
      <c r="L77" s="8">
        <f>SUM(L80:L82)</f>
        <v>12</v>
      </c>
      <c r="M77" s="8">
        <f>SUM(M80:M82)</f>
        <v>15</v>
      </c>
      <c r="N77" s="8">
        <f>SUM(N80:N82)</f>
        <v>25</v>
      </c>
      <c r="O77" s="8">
        <f>SUM(O80:O82)</f>
        <v>39</v>
      </c>
      <c r="P77" s="8">
        <f>SUM(P80:P82)</f>
        <v>18</v>
      </c>
      <c r="Q77" s="8">
        <f>SUM(Q80,Q81,Q97,Q98,Q99,Q100)</f>
        <v>42.188679245283019</v>
      </c>
    </row>
    <row r="78" spans="1:20" x14ac:dyDescent="0.3">
      <c r="E78" s="5" t="s">
        <v>15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3</v>
      </c>
      <c r="N78" s="8">
        <v>1</v>
      </c>
      <c r="O78" s="8">
        <v>0</v>
      </c>
      <c r="P78" s="8">
        <v>2</v>
      </c>
      <c r="Q78" s="8">
        <v>1</v>
      </c>
    </row>
    <row r="79" spans="1:20" x14ac:dyDescent="0.3">
      <c r="E79" s="5" t="s">
        <v>14</v>
      </c>
      <c r="F79" s="10">
        <v>9.6774193548387094E-2</v>
      </c>
      <c r="G79" s="10">
        <v>9.5890410958904104E-2</v>
      </c>
      <c r="H79" s="10">
        <v>0.10126582278481013</v>
      </c>
      <c r="I79" s="10">
        <v>9.8765432098765427E-2</v>
      </c>
      <c r="J79" s="10">
        <v>0.11363636363636363</v>
      </c>
      <c r="K79" s="10">
        <v>3.90625E-2</v>
      </c>
      <c r="L79" s="10">
        <v>7.407407407407407E-2</v>
      </c>
      <c r="M79" s="10">
        <v>7.8534031413612565E-2</v>
      </c>
      <c r="N79" s="10">
        <v>0.11363636363636363</v>
      </c>
      <c r="O79" s="10">
        <v>0.1638655462184874</v>
      </c>
      <c r="P79" s="10">
        <v>7.28744939271255E-2</v>
      </c>
      <c r="Q79" s="10">
        <v>0.12452830188679245</v>
      </c>
    </row>
    <row r="80" spans="1:20" x14ac:dyDescent="0.3">
      <c r="E80" s="5" t="s">
        <v>13</v>
      </c>
      <c r="F80" s="8">
        <v>5</v>
      </c>
      <c r="G80" s="8">
        <v>1</v>
      </c>
      <c r="H80" s="8">
        <v>6</v>
      </c>
      <c r="I80" s="8">
        <v>8</v>
      </c>
      <c r="J80" s="8">
        <v>6</v>
      </c>
      <c r="K80" s="8">
        <v>2</v>
      </c>
      <c r="L80" s="8">
        <v>9</v>
      </c>
      <c r="M80" s="8">
        <v>8</v>
      </c>
      <c r="N80" s="8">
        <v>23</v>
      </c>
      <c r="O80" s="8">
        <v>22</v>
      </c>
      <c r="P80" s="8">
        <v>10</v>
      </c>
      <c r="Q80" s="8">
        <v>27</v>
      </c>
    </row>
    <row r="81" spans="1:20" x14ac:dyDescent="0.3">
      <c r="E81" s="5" t="s">
        <v>12</v>
      </c>
      <c r="F81" s="8">
        <v>1</v>
      </c>
      <c r="G81" s="8">
        <v>6</v>
      </c>
      <c r="H81" s="8">
        <v>2</v>
      </c>
      <c r="I81" s="8">
        <v>0</v>
      </c>
      <c r="J81" s="8">
        <v>4</v>
      </c>
      <c r="K81" s="8">
        <v>3</v>
      </c>
      <c r="L81" s="8">
        <v>3</v>
      </c>
      <c r="M81" s="8">
        <v>7</v>
      </c>
      <c r="N81" s="8">
        <v>2</v>
      </c>
      <c r="O81" s="8">
        <v>17</v>
      </c>
      <c r="P81" s="8">
        <v>8</v>
      </c>
      <c r="Q81" s="8">
        <v>5</v>
      </c>
    </row>
    <row r="82" spans="1:20" x14ac:dyDescent="0.3">
      <c r="E82" s="5" t="s">
        <v>11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</row>
    <row r="83" spans="1:20" x14ac:dyDescent="0.3">
      <c r="E83" s="5" t="s">
        <v>6</v>
      </c>
      <c r="F83" s="8">
        <v>11199.64</v>
      </c>
      <c r="G83" s="8">
        <v>11754.42</v>
      </c>
      <c r="H83" s="8">
        <v>10909.84</v>
      </c>
      <c r="I83" s="8">
        <v>13411.439999999999</v>
      </c>
      <c r="J83" s="8">
        <v>18873.75</v>
      </c>
      <c r="K83" s="8">
        <v>24033.619999999995</v>
      </c>
      <c r="L83" s="8">
        <v>29085.519999999986</v>
      </c>
      <c r="M83" s="8">
        <v>33354.949999999983</v>
      </c>
      <c r="N83" s="8">
        <v>37644.889999999992</v>
      </c>
      <c r="O83" s="8">
        <v>43620.099999999977</v>
      </c>
      <c r="P83" s="8">
        <v>49824.650000000031</v>
      </c>
      <c r="Q83" s="8">
        <v>51165.05</v>
      </c>
    </row>
    <row r="84" spans="1:20" x14ac:dyDescent="0.3">
      <c r="E84" s="5" t="s">
        <v>5</v>
      </c>
      <c r="F84" s="8">
        <v>9896.2800000000007</v>
      </c>
      <c r="G84" s="8">
        <v>10705.12</v>
      </c>
      <c r="H84" s="8">
        <v>10039.710000000001</v>
      </c>
      <c r="I84" s="8">
        <v>13197.009999999998</v>
      </c>
      <c r="J84" s="8">
        <v>16864.53</v>
      </c>
      <c r="K84" s="8">
        <v>20322.359999999993</v>
      </c>
      <c r="L84" s="8">
        <v>23098.509999999987</v>
      </c>
      <c r="M84" s="8">
        <v>25333.579999999987</v>
      </c>
      <c r="N84" s="8">
        <v>29513.099999999991</v>
      </c>
      <c r="O84" s="8">
        <v>33965.429999999978</v>
      </c>
      <c r="P84" s="8">
        <v>38870.410000000033</v>
      </c>
      <c r="Q84" s="8">
        <v>30810.76</v>
      </c>
    </row>
    <row r="85" spans="1:20" x14ac:dyDescent="0.3">
      <c r="E85" s="5" t="s">
        <v>4</v>
      </c>
      <c r="F85" s="9">
        <f>IFERROR((1-F84/F83),0)</f>
        <v>0.11637516920186708</v>
      </c>
      <c r="G85" s="9">
        <f>IFERROR((1-G84/G83),0)</f>
        <v>8.9268547491071382E-2</v>
      </c>
      <c r="H85" s="9">
        <f>IFERROR((1-H84/H83),0)</f>
        <v>7.9756440057782596E-2</v>
      </c>
      <c r="I85" s="9">
        <f>IFERROR((1-I84/I83),0)</f>
        <v>1.5988588846536977E-2</v>
      </c>
      <c r="J85" s="9">
        <f>IFERROR((1-J84/J83),0)</f>
        <v>0.10645579177428977</v>
      </c>
      <c r="K85" s="9">
        <v>0</v>
      </c>
      <c r="L85" s="9">
        <f>IFERROR((1-L84/L83),0)</f>
        <v>0.205841600906568</v>
      </c>
      <c r="M85" s="9">
        <f>IFERROR((1-M84/M83),0)</f>
        <v>0.24048514538321897</v>
      </c>
      <c r="N85" s="9">
        <f>IFERROR((1-N84/N83),0)</f>
        <v>0.21601311625561936</v>
      </c>
      <c r="O85" s="9">
        <f>IFERROR((1-O84/O83),0)</f>
        <v>0.22133534769521401</v>
      </c>
      <c r="P85" s="9">
        <f>IFERROR((1-P84/P83),0)</f>
        <v>0.2198558344112802</v>
      </c>
      <c r="Q85" s="9">
        <f>IFERROR((1-Q84/Q83),0)</f>
        <v>0.39781628279460302</v>
      </c>
    </row>
    <row r="86" spans="1:20" x14ac:dyDescent="0.3">
      <c r="E86" s="5" t="s">
        <v>3</v>
      </c>
      <c r="F86" s="8">
        <v>0</v>
      </c>
      <c r="G86" s="8">
        <v>0</v>
      </c>
      <c r="H86" s="8">
        <v>0</v>
      </c>
      <c r="I86" s="8">
        <v>0</v>
      </c>
      <c r="J86" s="8">
        <v>45</v>
      </c>
      <c r="K86" s="8">
        <v>38</v>
      </c>
      <c r="L86" s="8">
        <v>41</v>
      </c>
      <c r="M86" s="8">
        <v>44</v>
      </c>
      <c r="N86" s="8">
        <v>43</v>
      </c>
      <c r="O86" s="8">
        <v>46</v>
      </c>
      <c r="P86" s="8">
        <v>50</v>
      </c>
      <c r="Q86" s="8">
        <v>43</v>
      </c>
    </row>
    <row r="87" spans="1:20" x14ac:dyDescent="0.3">
      <c r="E87" s="5" t="s">
        <v>2</v>
      </c>
      <c r="F87" s="24">
        <f>F83/F74</f>
        <v>153.41972602739725</v>
      </c>
      <c r="G87" s="24">
        <f>G83/G74</f>
        <v>148.79012658227848</v>
      </c>
      <c r="H87" s="24">
        <f>H83/H74</f>
        <v>134.68938271604938</v>
      </c>
      <c r="I87" s="24">
        <f>I83/I74</f>
        <v>152.40272727272725</v>
      </c>
      <c r="J87" s="24">
        <f>J83/J74</f>
        <v>147.451171875</v>
      </c>
      <c r="K87" s="24">
        <f>K83/K74</f>
        <v>148.35567901234566</v>
      </c>
      <c r="L87" s="24">
        <f>L83/L74</f>
        <v>152.28020942408369</v>
      </c>
      <c r="M87" s="24">
        <f>M83/M74</f>
        <v>151.61340909090902</v>
      </c>
      <c r="N87" s="24">
        <f>N83/N74</f>
        <v>158.17180672268904</v>
      </c>
      <c r="O87" s="24">
        <f>O83/O74</f>
        <v>176.59959514170032</v>
      </c>
      <c r="P87" s="24">
        <f>P83/P74</f>
        <v>188.01754716981142</v>
      </c>
      <c r="Q87" s="24">
        <f>Q83/Q74</f>
        <v>157.91682098765432</v>
      </c>
    </row>
    <row r="88" spans="1:20" x14ac:dyDescent="0.3">
      <c r="E88" s="5" t="s">
        <v>1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2926.4996000000006</v>
      </c>
      <c r="L88" s="23">
        <v>2538.2626000000005</v>
      </c>
      <c r="M88" s="23">
        <v>2617.0580000000004</v>
      </c>
      <c r="N88" s="23">
        <v>2852.7911999999992</v>
      </c>
      <c r="O88" s="23">
        <v>3084.95</v>
      </c>
      <c r="P88" s="23">
        <v>3025.1499999999992</v>
      </c>
      <c r="Q88" s="23">
        <v>3997.4173999999998</v>
      </c>
    </row>
    <row r="89" spans="1:20" x14ac:dyDescent="0.3">
      <c r="E89" s="5" t="s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4070</v>
      </c>
      <c r="L89" s="23">
        <v>3520</v>
      </c>
      <c r="M89" s="23">
        <v>3190</v>
      </c>
      <c r="N89" s="23">
        <v>3410</v>
      </c>
      <c r="O89" s="23">
        <v>3410</v>
      </c>
      <c r="P89" s="23">
        <v>3190</v>
      </c>
      <c r="Q89" s="23">
        <v>10780</v>
      </c>
    </row>
    <row r="90" spans="1:20" ht="4.95" customHeight="1" x14ac:dyDescent="0.3">
      <c r="A90" s="2"/>
      <c r="B90" s="2"/>
      <c r="C90" s="2"/>
      <c r="E90" s="29"/>
      <c r="F90" s="30"/>
      <c r="G90" s="29"/>
      <c r="H90" s="29"/>
      <c r="I90" s="29"/>
      <c r="J90" s="29"/>
      <c r="K90" s="29"/>
      <c r="L90" s="29"/>
      <c r="M90" s="2"/>
      <c r="N90" s="2"/>
      <c r="O90" s="2"/>
      <c r="P90" s="2"/>
      <c r="Q90" s="2"/>
      <c r="S90" s="28"/>
      <c r="T90" s="28"/>
    </row>
    <row r="91" spans="1:20" x14ac:dyDescent="0.3">
      <c r="E91" s="15" t="s">
        <v>33</v>
      </c>
      <c r="F91" s="15" t="s">
        <v>32</v>
      </c>
      <c r="G91" s="15" t="s">
        <v>31</v>
      </c>
      <c r="H91" s="15" t="s">
        <v>30</v>
      </c>
      <c r="I91" s="15" t="s">
        <v>29</v>
      </c>
      <c r="J91" s="15" t="s">
        <v>28</v>
      </c>
      <c r="K91" s="15" t="s">
        <v>27</v>
      </c>
      <c r="L91" s="15" t="s">
        <v>26</v>
      </c>
      <c r="M91" s="15" t="s">
        <v>25</v>
      </c>
      <c r="N91" s="15" t="s">
        <v>24</v>
      </c>
      <c r="O91" s="15" t="s">
        <v>23</v>
      </c>
      <c r="P91" s="15" t="s">
        <v>22</v>
      </c>
      <c r="Q91" s="15" t="s">
        <v>21</v>
      </c>
    </row>
    <row r="92" spans="1:20" x14ac:dyDescent="0.3">
      <c r="E92" s="5" t="s">
        <v>44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41</v>
      </c>
      <c r="P92" s="8">
        <v>53</v>
      </c>
      <c r="Q92" s="8">
        <v>82</v>
      </c>
    </row>
    <row r="93" spans="1:20" x14ac:dyDescent="0.3">
      <c r="E93" s="5" t="s">
        <v>39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</row>
    <row r="94" spans="1:20" x14ac:dyDescent="0.3">
      <c r="E94" s="5" t="s">
        <v>14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41</v>
      </c>
      <c r="P94" s="10">
        <v>53</v>
      </c>
      <c r="Q94" s="10">
        <v>82</v>
      </c>
    </row>
    <row r="95" spans="1:20" x14ac:dyDescent="0.3">
      <c r="E95" s="5" t="s">
        <v>13</v>
      </c>
      <c r="F95" s="8">
        <v>0</v>
      </c>
      <c r="G95" s="8">
        <v>0</v>
      </c>
      <c r="H95" s="8">
        <v>0</v>
      </c>
      <c r="I95" s="8">
        <v>0</v>
      </c>
      <c r="J95" s="8">
        <v>0</v>
      </c>
      <c r="K95" s="8">
        <v>0</v>
      </c>
      <c r="L95" s="8">
        <v>0</v>
      </c>
      <c r="M95" s="8">
        <v>0</v>
      </c>
      <c r="N95" s="8">
        <v>0</v>
      </c>
      <c r="O95" s="8">
        <v>0</v>
      </c>
      <c r="P95" s="8">
        <v>3</v>
      </c>
      <c r="Q95" s="8">
        <v>10</v>
      </c>
    </row>
    <row r="96" spans="1:20" x14ac:dyDescent="0.3">
      <c r="E96" s="5" t="s">
        <v>12</v>
      </c>
      <c r="F96" s="8">
        <v>0</v>
      </c>
      <c r="G96" s="8">
        <v>0</v>
      </c>
      <c r="H96" s="8">
        <v>0</v>
      </c>
      <c r="I96" s="8">
        <v>0</v>
      </c>
      <c r="J96" s="8">
        <v>0</v>
      </c>
      <c r="K96" s="8">
        <v>0</v>
      </c>
      <c r="L96" s="8">
        <v>0</v>
      </c>
      <c r="M96" s="8">
        <v>0</v>
      </c>
      <c r="N96" s="8">
        <v>0</v>
      </c>
      <c r="O96" s="8">
        <v>4</v>
      </c>
      <c r="P96" s="8">
        <v>3</v>
      </c>
      <c r="Q96" s="8">
        <v>1</v>
      </c>
    </row>
    <row r="97" spans="1:17" x14ac:dyDescent="0.3">
      <c r="E97" s="5" t="s">
        <v>11</v>
      </c>
      <c r="F97" s="8">
        <v>0</v>
      </c>
      <c r="G97" s="8">
        <v>0</v>
      </c>
      <c r="H97" s="8">
        <v>0</v>
      </c>
      <c r="I97" s="8">
        <v>0</v>
      </c>
      <c r="J97" s="8">
        <v>0</v>
      </c>
      <c r="K97" s="8">
        <v>0</v>
      </c>
      <c r="L97" s="8">
        <v>0</v>
      </c>
      <c r="M97" s="8">
        <v>0</v>
      </c>
      <c r="N97" s="8">
        <v>0</v>
      </c>
      <c r="O97" s="8">
        <v>0</v>
      </c>
      <c r="P97" s="8">
        <v>7.3170731707317069E-2</v>
      </c>
      <c r="Q97" s="8">
        <v>0.18867924528301888</v>
      </c>
    </row>
    <row r="98" spans="1:17" x14ac:dyDescent="0.3">
      <c r="E98" s="5" t="s">
        <v>43</v>
      </c>
      <c r="F98" s="8">
        <v>0</v>
      </c>
      <c r="G98" s="8">
        <v>0</v>
      </c>
      <c r="H98" s="8">
        <v>0</v>
      </c>
      <c r="I98" s="8">
        <v>0</v>
      </c>
      <c r="J98" s="8">
        <v>0</v>
      </c>
      <c r="K98" s="8">
        <v>0</v>
      </c>
      <c r="L98" s="8">
        <v>0</v>
      </c>
      <c r="M98" s="8">
        <v>0</v>
      </c>
      <c r="N98" s="8">
        <v>0</v>
      </c>
      <c r="O98" s="8">
        <v>0</v>
      </c>
      <c r="P98" s="8">
        <v>0</v>
      </c>
      <c r="Q98" s="11">
        <v>4</v>
      </c>
    </row>
    <row r="99" spans="1:17" x14ac:dyDescent="0.3">
      <c r="E99" s="5" t="s">
        <v>42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11">
        <v>6</v>
      </c>
    </row>
    <row r="100" spans="1:17" ht="13.95" hidden="1" customHeight="1" x14ac:dyDescent="0.3">
      <c r="E100" s="25" t="s">
        <v>35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11">
        <v>0</v>
      </c>
    </row>
    <row r="101" spans="1:17" ht="13.95" hidden="1" customHeight="1" x14ac:dyDescent="0.3">
      <c r="E101" s="5" t="s">
        <v>6</v>
      </c>
      <c r="F101" s="34">
        <v>0</v>
      </c>
      <c r="G101" s="34">
        <v>0</v>
      </c>
      <c r="H101" s="34">
        <v>0</v>
      </c>
      <c r="I101" s="35">
        <v>0</v>
      </c>
      <c r="J101" s="34">
        <v>0</v>
      </c>
      <c r="K101" s="34">
        <v>0</v>
      </c>
      <c r="L101" s="23">
        <v>0</v>
      </c>
      <c r="M101" s="23">
        <v>0</v>
      </c>
      <c r="N101" s="23">
        <v>0</v>
      </c>
      <c r="O101" s="23">
        <v>0</v>
      </c>
      <c r="P101" s="23">
        <v>0</v>
      </c>
      <c r="Q101" s="4">
        <v>0</v>
      </c>
    </row>
    <row r="102" spans="1:17" ht="13.95" hidden="1" customHeight="1" x14ac:dyDescent="0.3">
      <c r="E102" s="5" t="s">
        <v>5</v>
      </c>
      <c r="F102" s="34">
        <v>0</v>
      </c>
      <c r="G102" s="34">
        <v>0</v>
      </c>
      <c r="H102" s="34">
        <v>0</v>
      </c>
      <c r="I102" s="35">
        <v>0</v>
      </c>
      <c r="J102" s="34">
        <v>0</v>
      </c>
      <c r="K102" s="34">
        <v>0</v>
      </c>
      <c r="L102" s="23">
        <v>0</v>
      </c>
      <c r="M102" s="23">
        <v>0</v>
      </c>
      <c r="N102" s="23">
        <v>0</v>
      </c>
      <c r="O102" s="23">
        <v>0</v>
      </c>
      <c r="P102" s="23">
        <v>0</v>
      </c>
      <c r="Q102" s="4">
        <v>0</v>
      </c>
    </row>
    <row r="103" spans="1:17" ht="13.95" hidden="1" customHeight="1" x14ac:dyDescent="0.3">
      <c r="E103" s="5" t="s">
        <v>4</v>
      </c>
      <c r="F103" s="9">
        <v>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</row>
    <row r="104" spans="1:17" ht="13.95" hidden="1" customHeight="1" x14ac:dyDescent="0.3">
      <c r="E104" s="5" t="s">
        <v>3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</row>
    <row r="105" spans="1:17" ht="13.95" hidden="1" customHeight="1" x14ac:dyDescent="0.3">
      <c r="E105" s="5" t="s">
        <v>2</v>
      </c>
      <c r="F105" s="24">
        <v>0</v>
      </c>
      <c r="G105" s="24">
        <v>0</v>
      </c>
      <c r="H105" s="24">
        <v>0</v>
      </c>
      <c r="I105" s="24">
        <v>0</v>
      </c>
      <c r="J105" s="24">
        <v>0</v>
      </c>
      <c r="K105" s="24">
        <v>0</v>
      </c>
      <c r="L105" s="24">
        <v>0</v>
      </c>
      <c r="M105" s="24">
        <v>0</v>
      </c>
      <c r="N105" s="24">
        <v>0</v>
      </c>
      <c r="O105" s="24">
        <v>0</v>
      </c>
      <c r="P105" s="24">
        <v>0</v>
      </c>
      <c r="Q105" s="24">
        <v>0</v>
      </c>
    </row>
    <row r="106" spans="1:17" ht="13.95" hidden="1" customHeight="1" x14ac:dyDescent="0.3">
      <c r="E106" s="5" t="s">
        <v>1</v>
      </c>
      <c r="F106" s="23">
        <v>0</v>
      </c>
      <c r="G106" s="23">
        <v>0</v>
      </c>
      <c r="H106" s="23">
        <v>0</v>
      </c>
      <c r="I106" s="23">
        <v>0</v>
      </c>
      <c r="J106" s="23">
        <v>0</v>
      </c>
      <c r="K106" s="23">
        <v>0</v>
      </c>
      <c r="L106" s="23">
        <v>0</v>
      </c>
      <c r="M106" s="23">
        <v>0</v>
      </c>
      <c r="N106" s="23">
        <v>0</v>
      </c>
      <c r="O106" s="23">
        <v>0</v>
      </c>
      <c r="P106" s="23">
        <v>0</v>
      </c>
      <c r="Q106" s="23">
        <v>0</v>
      </c>
    </row>
    <row r="107" spans="1:17" ht="13.95" hidden="1" customHeight="1" x14ac:dyDescent="0.3">
      <c r="E107" s="5" t="s">
        <v>0</v>
      </c>
      <c r="F107" s="23">
        <v>0</v>
      </c>
      <c r="G107" s="23">
        <v>0</v>
      </c>
      <c r="H107" s="23">
        <v>0</v>
      </c>
      <c r="I107" s="23">
        <v>0</v>
      </c>
      <c r="J107" s="23">
        <v>0</v>
      </c>
      <c r="K107" s="23">
        <v>0</v>
      </c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</row>
    <row r="108" spans="1:17" ht="13.95" hidden="1" customHeight="1" x14ac:dyDescent="0.3">
      <c r="A108" s="2"/>
      <c r="B108" s="2"/>
      <c r="C108" s="2"/>
      <c r="E108" s="33"/>
      <c r="F108" s="32">
        <v>0</v>
      </c>
      <c r="G108" s="32">
        <v>0</v>
      </c>
      <c r="H108" s="32">
        <v>0</v>
      </c>
      <c r="I108" s="32">
        <v>0</v>
      </c>
      <c r="J108" s="32">
        <v>0</v>
      </c>
      <c r="K108" s="32">
        <v>0</v>
      </c>
      <c r="L108" s="32">
        <v>0</v>
      </c>
      <c r="M108" s="32">
        <v>0</v>
      </c>
      <c r="N108" s="32"/>
      <c r="O108" s="32">
        <v>0</v>
      </c>
      <c r="P108" s="31"/>
      <c r="Q108" s="31"/>
    </row>
    <row r="109" spans="1:17" ht="13.95" hidden="1" customHeight="1" x14ac:dyDescent="0.3">
      <c r="E109" s="15" t="s">
        <v>33</v>
      </c>
      <c r="F109" s="15">
        <v>0</v>
      </c>
      <c r="G109" s="15">
        <v>0</v>
      </c>
      <c r="H109" s="15">
        <v>0</v>
      </c>
      <c r="I109" s="15">
        <v>0</v>
      </c>
      <c r="J109" s="15">
        <v>0</v>
      </c>
      <c r="K109" s="15">
        <v>0</v>
      </c>
      <c r="L109" s="15">
        <v>0</v>
      </c>
      <c r="M109" s="15">
        <v>0</v>
      </c>
      <c r="N109" s="15" t="s">
        <v>24</v>
      </c>
      <c r="O109" s="15">
        <v>0</v>
      </c>
      <c r="P109" s="15" t="s">
        <v>22</v>
      </c>
      <c r="Q109" s="15" t="s">
        <v>21</v>
      </c>
    </row>
    <row r="110" spans="1:17" ht="13.95" hidden="1" customHeight="1" x14ac:dyDescent="0.3">
      <c r="E110" s="5" t="s">
        <v>19</v>
      </c>
      <c r="F110" s="8">
        <v>0</v>
      </c>
      <c r="G110" s="8">
        <v>0</v>
      </c>
      <c r="H110" s="8">
        <v>0</v>
      </c>
      <c r="I110" s="8">
        <v>0</v>
      </c>
      <c r="J110" s="8">
        <v>0</v>
      </c>
      <c r="K110" s="8">
        <v>0</v>
      </c>
      <c r="L110" s="8">
        <v>0</v>
      </c>
      <c r="M110" s="8">
        <v>0</v>
      </c>
      <c r="N110" s="8"/>
      <c r="O110" s="8">
        <v>0</v>
      </c>
      <c r="P110" s="8"/>
      <c r="Q110" s="8"/>
    </row>
    <row r="111" spans="1:17" ht="13.95" hidden="1" customHeight="1" x14ac:dyDescent="0.3">
      <c r="E111" s="14" t="s">
        <v>41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/>
      <c r="O111" s="8">
        <v>0</v>
      </c>
      <c r="P111" s="8"/>
      <c r="Q111" s="8"/>
    </row>
    <row r="112" spans="1:17" ht="13.95" hidden="1" customHeight="1" x14ac:dyDescent="0.3">
      <c r="E112" s="14" t="s">
        <v>40</v>
      </c>
      <c r="F112" s="8">
        <v>0</v>
      </c>
      <c r="G112" s="8">
        <v>0</v>
      </c>
      <c r="H112" s="8">
        <v>0</v>
      </c>
      <c r="I112" s="8">
        <v>0</v>
      </c>
      <c r="J112" s="8">
        <v>0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</row>
    <row r="113" spans="1:20" ht="13.95" hidden="1" customHeight="1" x14ac:dyDescent="0.3">
      <c r="E113" s="5" t="s">
        <v>39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/>
      <c r="O113" s="8">
        <v>0</v>
      </c>
      <c r="P113" s="8"/>
      <c r="Q113" s="8"/>
    </row>
    <row r="114" spans="1:20" ht="13.95" hidden="1" customHeight="1" x14ac:dyDescent="0.3">
      <c r="E114" s="5" t="s">
        <v>15</v>
      </c>
      <c r="F114" s="8">
        <v>0</v>
      </c>
      <c r="G114" s="8">
        <v>0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/>
      <c r="O114" s="8">
        <v>0</v>
      </c>
      <c r="P114" s="8"/>
      <c r="Q114" s="8"/>
    </row>
    <row r="115" spans="1:20" x14ac:dyDescent="0.3">
      <c r="E115" s="5" t="s">
        <v>14</v>
      </c>
      <c r="F115" s="8">
        <v>0</v>
      </c>
      <c r="G115" s="8">
        <v>0</v>
      </c>
      <c r="H115" s="8">
        <v>0</v>
      </c>
      <c r="I115" s="8">
        <v>0</v>
      </c>
      <c r="J115" s="8">
        <v>0</v>
      </c>
      <c r="K115" s="8">
        <v>0</v>
      </c>
      <c r="L115" s="8">
        <v>0</v>
      </c>
      <c r="M115" s="8">
        <v>0</v>
      </c>
      <c r="N115" s="10">
        <v>0</v>
      </c>
      <c r="O115" s="10">
        <v>0</v>
      </c>
      <c r="P115" s="10">
        <v>1</v>
      </c>
      <c r="Q115" s="10">
        <v>0</v>
      </c>
    </row>
    <row r="116" spans="1:20" x14ac:dyDescent="0.3">
      <c r="E116" s="5" t="s">
        <v>13</v>
      </c>
      <c r="F116" s="8">
        <v>0</v>
      </c>
      <c r="G116" s="8">
        <v>0</v>
      </c>
      <c r="H116" s="8">
        <v>0</v>
      </c>
      <c r="I116" s="8">
        <v>0</v>
      </c>
      <c r="J116" s="8">
        <v>0</v>
      </c>
      <c r="K116" s="8">
        <v>0</v>
      </c>
      <c r="L116" s="8">
        <v>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</row>
    <row r="117" spans="1:20" x14ac:dyDescent="0.3">
      <c r="E117" s="5" t="s">
        <v>12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S117" s="12"/>
    </row>
    <row r="118" spans="1:20" x14ac:dyDescent="0.3">
      <c r="E118" s="5" t="s">
        <v>11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2</v>
      </c>
      <c r="Q118" s="8">
        <v>0</v>
      </c>
      <c r="S118" s="12"/>
    </row>
    <row r="119" spans="1:20" x14ac:dyDescent="0.3">
      <c r="E119" s="5" t="s">
        <v>6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8">
        <v>0</v>
      </c>
      <c r="O119" s="8">
        <v>12784.670000000002</v>
      </c>
      <c r="P119" s="8">
        <v>15619.429999999998</v>
      </c>
      <c r="Q119" s="8">
        <v>28094.959999999999</v>
      </c>
    </row>
    <row r="120" spans="1:20" x14ac:dyDescent="0.3">
      <c r="E120" s="5" t="s">
        <v>5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9776.6200000000008</v>
      </c>
      <c r="P120" s="8">
        <v>13841.509999999998</v>
      </c>
      <c r="Q120" s="8">
        <v>17778.64</v>
      </c>
    </row>
    <row r="121" spans="1:20" x14ac:dyDescent="0.3">
      <c r="E121" s="5" t="s">
        <v>4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9" t="s">
        <v>34</v>
      </c>
      <c r="O121" s="8">
        <v>0.2352856976363098</v>
      </c>
      <c r="P121" s="9">
        <v>0.11382745721194698</v>
      </c>
      <c r="Q121" s="9">
        <v>0.36719468545247969</v>
      </c>
    </row>
    <row r="122" spans="1:20" x14ac:dyDescent="0.3">
      <c r="E122" s="5" t="s">
        <v>3</v>
      </c>
      <c r="F122" s="8">
        <v>0</v>
      </c>
      <c r="G122" s="8">
        <v>0</v>
      </c>
      <c r="H122" s="8">
        <v>0</v>
      </c>
      <c r="I122" s="8">
        <v>0</v>
      </c>
      <c r="J122" s="8">
        <v>0</v>
      </c>
      <c r="K122" s="8">
        <v>0</v>
      </c>
      <c r="L122" s="8">
        <v>0</v>
      </c>
      <c r="M122" s="8">
        <v>0</v>
      </c>
      <c r="N122" s="8">
        <v>0</v>
      </c>
      <c r="O122" s="8">
        <v>41</v>
      </c>
      <c r="P122" s="8">
        <v>19</v>
      </c>
      <c r="Q122" s="8">
        <v>30</v>
      </c>
    </row>
    <row r="123" spans="1:20" x14ac:dyDescent="0.3">
      <c r="E123" s="5" t="s">
        <v>2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311.82121951219517</v>
      </c>
      <c r="P123" s="8">
        <v>294.70622641509431</v>
      </c>
      <c r="Q123" s="8">
        <v>342.62146341463415</v>
      </c>
    </row>
    <row r="124" spans="1:20" x14ac:dyDescent="0.3">
      <c r="E124" s="5" t="s">
        <v>1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23">
        <v>0</v>
      </c>
      <c r="O124" s="8">
        <v>0</v>
      </c>
      <c r="P124" s="23">
        <v>1338.07</v>
      </c>
      <c r="Q124" s="23">
        <v>4377.7153499999995</v>
      </c>
    </row>
    <row r="125" spans="1:20" x14ac:dyDescent="0.3">
      <c r="E125" s="5" t="s">
        <v>0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8">
        <v>0</v>
      </c>
      <c r="M125" s="8">
        <v>0</v>
      </c>
      <c r="N125" s="23">
        <v>0</v>
      </c>
      <c r="O125" s="8">
        <v>0</v>
      </c>
      <c r="P125" s="23">
        <v>3600</v>
      </c>
      <c r="Q125" s="23">
        <v>4040</v>
      </c>
    </row>
    <row r="126" spans="1:20" ht="4.95" customHeight="1" x14ac:dyDescent="0.3">
      <c r="A126" s="2"/>
      <c r="B126" s="2"/>
      <c r="C126" s="2"/>
      <c r="E126" s="29"/>
      <c r="F126" s="30"/>
      <c r="G126" s="29"/>
      <c r="H126" s="29"/>
      <c r="I126" s="29"/>
      <c r="J126" s="29"/>
      <c r="K126" s="29"/>
      <c r="L126" s="29"/>
      <c r="M126" s="2"/>
      <c r="N126" s="2"/>
      <c r="O126" s="2"/>
      <c r="P126" s="2"/>
      <c r="Q126" s="2"/>
      <c r="S126" s="28"/>
      <c r="T126" s="28"/>
    </row>
    <row r="127" spans="1:20" x14ac:dyDescent="0.3">
      <c r="E127" s="15" t="s">
        <v>33</v>
      </c>
      <c r="F127" s="15" t="s">
        <v>32</v>
      </c>
      <c r="G127" s="15" t="s">
        <v>31</v>
      </c>
      <c r="H127" s="15" t="s">
        <v>30</v>
      </c>
      <c r="I127" s="15" t="s">
        <v>29</v>
      </c>
      <c r="J127" s="15" t="s">
        <v>28</v>
      </c>
      <c r="K127" s="15" t="s">
        <v>27</v>
      </c>
      <c r="L127" s="15" t="s">
        <v>26</v>
      </c>
      <c r="M127" s="15" t="s">
        <v>25</v>
      </c>
      <c r="N127" s="15" t="s">
        <v>24</v>
      </c>
      <c r="O127" s="15" t="s">
        <v>23</v>
      </c>
      <c r="P127" s="15" t="s">
        <v>22</v>
      </c>
      <c r="Q127" s="15" t="s">
        <v>21</v>
      </c>
    </row>
    <row r="128" spans="1:20" ht="13.95" customHeight="1" x14ac:dyDescent="0.3">
      <c r="E128" s="5" t="s">
        <v>20</v>
      </c>
      <c r="F128" s="8">
        <v>75873</v>
      </c>
      <c r="G128" s="8">
        <v>77083</v>
      </c>
      <c r="H128" s="8">
        <v>78733</v>
      </c>
      <c r="I128" s="8">
        <v>80658</v>
      </c>
      <c r="J128" s="8">
        <v>82478</v>
      </c>
      <c r="K128" s="8">
        <v>84268</v>
      </c>
      <c r="L128" s="8">
        <v>85468</v>
      </c>
      <c r="M128" s="8">
        <v>87198</v>
      </c>
      <c r="N128" s="8">
        <v>89008</v>
      </c>
      <c r="O128" s="8">
        <v>90518</v>
      </c>
      <c r="P128" s="8">
        <v>92013</v>
      </c>
      <c r="Q128" s="8">
        <v>93073</v>
      </c>
    </row>
    <row r="129" spans="1:17" x14ac:dyDescent="0.3">
      <c r="E129" s="5" t="s">
        <v>19</v>
      </c>
      <c r="F129" s="8">
        <v>70511</v>
      </c>
      <c r="G129" s="8">
        <v>69982</v>
      </c>
      <c r="H129" s="8">
        <v>73512</v>
      </c>
      <c r="I129" s="8">
        <v>74827</v>
      </c>
      <c r="J129" s="8">
        <v>76425</v>
      </c>
      <c r="K129" s="8">
        <v>77578</v>
      </c>
      <c r="L129" s="8">
        <v>82957</v>
      </c>
      <c r="M129" s="8">
        <v>86118</v>
      </c>
      <c r="N129" s="8">
        <v>85599</v>
      </c>
      <c r="O129" s="8">
        <v>80720</v>
      </c>
      <c r="P129" s="8">
        <v>79670</v>
      </c>
      <c r="Q129" s="8">
        <v>79887</v>
      </c>
    </row>
    <row r="130" spans="1:17" x14ac:dyDescent="0.3">
      <c r="E130" s="5" t="s">
        <v>41</v>
      </c>
      <c r="F130" s="27">
        <v>521</v>
      </c>
      <c r="G130" s="27">
        <v>526</v>
      </c>
      <c r="H130" s="27">
        <v>537</v>
      </c>
      <c r="I130" s="27">
        <v>548</v>
      </c>
      <c r="J130" s="27">
        <v>555</v>
      </c>
      <c r="K130" s="27">
        <v>566</v>
      </c>
      <c r="L130" s="27">
        <v>802</v>
      </c>
      <c r="M130" s="27">
        <v>1181</v>
      </c>
      <c r="N130" s="26">
        <v>1330</v>
      </c>
      <c r="O130" s="27">
        <v>1333</v>
      </c>
      <c r="P130" s="26">
        <v>1365</v>
      </c>
      <c r="Q130" s="26">
        <v>1461</v>
      </c>
    </row>
    <row r="131" spans="1:17" x14ac:dyDescent="0.3">
      <c r="E131" s="5" t="s">
        <v>40</v>
      </c>
      <c r="F131" s="8">
        <v>69990</v>
      </c>
      <c r="G131" s="8">
        <v>69456</v>
      </c>
      <c r="H131" s="8">
        <v>72975</v>
      </c>
      <c r="I131" s="8">
        <v>74279</v>
      </c>
      <c r="J131" s="8">
        <v>75870</v>
      </c>
      <c r="K131" s="8">
        <v>77012</v>
      </c>
      <c r="L131" s="8">
        <v>82155</v>
      </c>
      <c r="M131" s="8">
        <v>84937</v>
      </c>
      <c r="N131" s="8">
        <v>84269</v>
      </c>
      <c r="O131" s="8">
        <v>79387</v>
      </c>
      <c r="P131" s="8">
        <v>78305</v>
      </c>
      <c r="Q131" s="8">
        <v>78426</v>
      </c>
    </row>
    <row r="132" spans="1:17" x14ac:dyDescent="0.3">
      <c r="E132" s="5" t="s">
        <v>39</v>
      </c>
      <c r="F132" s="8">
        <v>2967</v>
      </c>
      <c r="G132" s="8">
        <v>3489</v>
      </c>
      <c r="H132" s="8">
        <v>3300</v>
      </c>
      <c r="I132" s="8">
        <v>2865</v>
      </c>
      <c r="J132" s="8">
        <v>2847</v>
      </c>
      <c r="K132" s="8">
        <v>3016</v>
      </c>
      <c r="L132" s="8">
        <v>3638</v>
      </c>
      <c r="M132" s="8">
        <v>3960</v>
      </c>
      <c r="N132" s="8">
        <v>5681</v>
      </c>
      <c r="O132" s="8">
        <v>10408</v>
      </c>
      <c r="P132" s="8">
        <v>4739</v>
      </c>
      <c r="Q132" s="8">
        <v>4683</v>
      </c>
    </row>
    <row r="133" spans="1:17" x14ac:dyDescent="0.3">
      <c r="E133" s="14" t="s">
        <v>38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14</v>
      </c>
      <c r="N133" s="8">
        <v>36</v>
      </c>
      <c r="O133" s="8">
        <v>11</v>
      </c>
      <c r="P133" s="8">
        <v>9</v>
      </c>
      <c r="Q133" s="8">
        <v>3</v>
      </c>
    </row>
    <row r="134" spans="1:17" x14ac:dyDescent="0.3">
      <c r="E134" s="14" t="s">
        <v>37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3</v>
      </c>
      <c r="N134" s="8">
        <v>1</v>
      </c>
      <c r="O134" s="8">
        <v>2</v>
      </c>
      <c r="P134" s="8">
        <v>0</v>
      </c>
      <c r="Q134" s="11">
        <v>0</v>
      </c>
    </row>
    <row r="135" spans="1:17" x14ac:dyDescent="0.3">
      <c r="E135" s="14" t="s">
        <v>36</v>
      </c>
      <c r="F135" s="8">
        <v>0</v>
      </c>
      <c r="G135" s="8">
        <v>0</v>
      </c>
      <c r="H135" s="8">
        <v>0</v>
      </c>
      <c r="I135" s="8">
        <v>0</v>
      </c>
      <c r="J135" s="8">
        <v>0</v>
      </c>
      <c r="K135" s="8">
        <v>0</v>
      </c>
      <c r="L135" s="8">
        <v>0</v>
      </c>
      <c r="M135" s="8">
        <v>23</v>
      </c>
      <c r="N135" s="8">
        <v>219</v>
      </c>
      <c r="O135" s="8">
        <v>523</v>
      </c>
      <c r="P135" s="8">
        <v>0</v>
      </c>
      <c r="Q135" s="11">
        <v>1</v>
      </c>
    </row>
    <row r="136" spans="1:17" ht="13.95" hidden="1" customHeight="1" x14ac:dyDescent="0.3">
      <c r="E136" s="25" t="s">
        <v>35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2</v>
      </c>
      <c r="Q136" s="11">
        <v>0</v>
      </c>
    </row>
    <row r="137" spans="1:17" ht="13.95" hidden="1" customHeight="1" x14ac:dyDescent="0.3">
      <c r="E137" s="5" t="s">
        <v>6</v>
      </c>
      <c r="F137" s="24">
        <v>0</v>
      </c>
      <c r="G137" s="24">
        <v>0</v>
      </c>
      <c r="H137" s="24">
        <v>0</v>
      </c>
      <c r="I137" s="24">
        <v>0</v>
      </c>
      <c r="J137" s="24">
        <v>0</v>
      </c>
      <c r="K137" s="24">
        <v>0</v>
      </c>
      <c r="L137" s="24">
        <v>0</v>
      </c>
      <c r="M137" s="24">
        <v>0</v>
      </c>
      <c r="N137" s="24">
        <v>0</v>
      </c>
      <c r="O137" s="23">
        <v>12784.670000000002</v>
      </c>
      <c r="P137" s="23">
        <v>15619.429999999998</v>
      </c>
      <c r="Q137" s="4">
        <v>28094.959999999999</v>
      </c>
    </row>
    <row r="138" spans="1:17" ht="13.95" hidden="1" customHeight="1" x14ac:dyDescent="0.3">
      <c r="E138" s="5" t="s">
        <v>5</v>
      </c>
      <c r="F138" s="24">
        <v>0</v>
      </c>
      <c r="G138" s="24">
        <v>0</v>
      </c>
      <c r="H138" s="24">
        <v>0</v>
      </c>
      <c r="I138" s="24">
        <v>0</v>
      </c>
      <c r="J138" s="24">
        <v>0</v>
      </c>
      <c r="K138" s="24">
        <v>0</v>
      </c>
      <c r="L138" s="24">
        <v>0</v>
      </c>
      <c r="M138" s="24">
        <v>0</v>
      </c>
      <c r="N138" s="24">
        <v>0</v>
      </c>
      <c r="O138" s="23">
        <v>9776.6200000000008</v>
      </c>
      <c r="P138" s="23">
        <v>13841.509999999998</v>
      </c>
      <c r="Q138" s="4">
        <v>17778.64</v>
      </c>
    </row>
    <row r="139" spans="1:17" ht="13.95" hidden="1" customHeight="1" x14ac:dyDescent="0.3">
      <c r="E139" s="5" t="s">
        <v>4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9" t="s">
        <v>34</v>
      </c>
      <c r="O139" s="9">
        <f>IFERROR((1-O138/O137),0)</f>
        <v>0.2352856976363098</v>
      </c>
      <c r="P139" s="9">
        <f>IFERROR((1-P138/P137),0)</f>
        <v>0.11382745721194698</v>
      </c>
      <c r="Q139" s="9">
        <f>IFERROR((1-Q138/Q137),0)</f>
        <v>0.36719468545247969</v>
      </c>
    </row>
    <row r="140" spans="1:17" ht="13.95" hidden="1" customHeight="1" x14ac:dyDescent="0.3">
      <c r="E140" s="5" t="s">
        <v>3</v>
      </c>
      <c r="F140" s="8">
        <v>0</v>
      </c>
      <c r="G140" s="8">
        <v>0</v>
      </c>
      <c r="H140" s="8">
        <v>0</v>
      </c>
      <c r="I140" s="8">
        <v>0</v>
      </c>
      <c r="J140" s="8">
        <v>0</v>
      </c>
      <c r="K140" s="8">
        <v>0</v>
      </c>
      <c r="L140" s="8">
        <v>0</v>
      </c>
      <c r="M140" s="8">
        <v>0</v>
      </c>
      <c r="N140" s="8">
        <v>0</v>
      </c>
      <c r="O140" s="8">
        <v>41</v>
      </c>
      <c r="P140" s="8">
        <v>19</v>
      </c>
      <c r="Q140" s="8">
        <v>30</v>
      </c>
    </row>
    <row r="141" spans="1:17" ht="13.95" hidden="1" customHeight="1" x14ac:dyDescent="0.3">
      <c r="E141" s="5" t="s">
        <v>2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24" t="e">
        <f>O137/O110</f>
        <v>#DIV/0!</v>
      </c>
      <c r="P141" s="24" t="e">
        <f>P137/P110</f>
        <v>#DIV/0!</v>
      </c>
      <c r="Q141" s="24" t="e">
        <f>Q137/Q110</f>
        <v>#DIV/0!</v>
      </c>
    </row>
    <row r="142" spans="1:17" ht="13.95" hidden="1" customHeight="1" x14ac:dyDescent="0.3">
      <c r="E142" s="5" t="s">
        <v>1</v>
      </c>
      <c r="F142" s="8">
        <v>0</v>
      </c>
      <c r="G142" s="8">
        <v>0</v>
      </c>
      <c r="H142" s="8">
        <v>0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23">
        <v>0</v>
      </c>
      <c r="P142" s="23">
        <v>1338.07</v>
      </c>
      <c r="Q142" s="23">
        <v>4377.7153499999995</v>
      </c>
    </row>
    <row r="143" spans="1:17" ht="13.95" hidden="1" customHeight="1" x14ac:dyDescent="0.3">
      <c r="E143" s="5" t="s">
        <v>0</v>
      </c>
      <c r="F143" s="8">
        <v>0</v>
      </c>
      <c r="G143" s="8">
        <v>0</v>
      </c>
      <c r="H143" s="8">
        <v>0</v>
      </c>
      <c r="I143" s="8">
        <v>0</v>
      </c>
      <c r="J143" s="8">
        <v>0</v>
      </c>
      <c r="K143" s="8">
        <v>0</v>
      </c>
      <c r="L143" s="8">
        <v>0</v>
      </c>
      <c r="M143" s="8">
        <v>0</v>
      </c>
      <c r="N143" s="8">
        <v>0</v>
      </c>
      <c r="O143" s="23">
        <v>0</v>
      </c>
      <c r="P143" s="23">
        <v>3600</v>
      </c>
      <c r="Q143" s="23">
        <v>4040</v>
      </c>
    </row>
    <row r="144" spans="1:17" ht="13.95" hidden="1" customHeight="1" x14ac:dyDescent="0.3">
      <c r="A144" s="2"/>
      <c r="B144" s="2"/>
      <c r="C144" s="2"/>
      <c r="E144" s="22"/>
      <c r="F144" s="21"/>
      <c r="G144" s="21"/>
      <c r="H144" s="21"/>
      <c r="I144" s="20"/>
      <c r="J144" s="20"/>
      <c r="K144" s="20"/>
      <c r="L144" s="20"/>
      <c r="M144" s="20"/>
      <c r="N144" s="20"/>
      <c r="O144" s="19"/>
      <c r="P144" s="19"/>
      <c r="Q144" s="19"/>
    </row>
    <row r="145" spans="5:19" ht="13.95" hidden="1" customHeight="1" x14ac:dyDescent="0.3">
      <c r="E145" s="16"/>
      <c r="F145" s="18"/>
      <c r="G145" s="18"/>
      <c r="H145" s="18"/>
      <c r="I145" s="17"/>
      <c r="J145" s="17"/>
      <c r="K145" s="17"/>
      <c r="L145" s="17"/>
      <c r="M145" s="17"/>
      <c r="N145" s="17"/>
      <c r="O145" s="17"/>
      <c r="P145" s="16"/>
      <c r="Q145" s="16"/>
    </row>
    <row r="146" spans="5:19" ht="13.95" hidden="1" customHeight="1" x14ac:dyDescent="0.3">
      <c r="E146" s="16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6"/>
    </row>
    <row r="147" spans="5:19" ht="13.95" hidden="1" customHeight="1" x14ac:dyDescent="0.3">
      <c r="E147" s="16"/>
      <c r="F147" s="18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6"/>
    </row>
    <row r="148" spans="5:19" ht="13.95" hidden="1" customHeight="1" x14ac:dyDescent="0.3">
      <c r="E148" s="15" t="s">
        <v>33</v>
      </c>
      <c r="F148" s="15" t="s">
        <v>32</v>
      </c>
      <c r="G148" s="15" t="s">
        <v>31</v>
      </c>
      <c r="H148" s="15" t="s">
        <v>30</v>
      </c>
      <c r="I148" s="15" t="s">
        <v>29</v>
      </c>
      <c r="J148" s="15" t="s">
        <v>28</v>
      </c>
      <c r="K148" s="15" t="s">
        <v>27</v>
      </c>
      <c r="L148" s="15" t="s">
        <v>26</v>
      </c>
      <c r="M148" s="15" t="s">
        <v>25</v>
      </c>
      <c r="N148" s="15" t="s">
        <v>24</v>
      </c>
      <c r="O148" s="15" t="s">
        <v>23</v>
      </c>
      <c r="P148" s="15" t="s">
        <v>22</v>
      </c>
      <c r="Q148" s="15" t="s">
        <v>21</v>
      </c>
    </row>
    <row r="149" spans="5:19" ht="13.95" hidden="1" customHeight="1" x14ac:dyDescent="0.3">
      <c r="E149" s="5" t="s">
        <v>20</v>
      </c>
      <c r="F149" s="8">
        <v>75873</v>
      </c>
      <c r="G149" s="8">
        <v>77083</v>
      </c>
      <c r="H149" s="8">
        <v>78733</v>
      </c>
      <c r="I149" s="8">
        <v>80658</v>
      </c>
      <c r="J149" s="8">
        <v>82478</v>
      </c>
      <c r="K149" s="8">
        <v>84268</v>
      </c>
      <c r="L149" s="8">
        <v>85468</v>
      </c>
      <c r="M149" s="8">
        <v>87198</v>
      </c>
      <c r="N149" s="8">
        <v>89008</v>
      </c>
      <c r="O149" s="8">
        <v>90518</v>
      </c>
      <c r="P149" s="8">
        <v>92013</v>
      </c>
      <c r="Q149" s="8">
        <v>93073</v>
      </c>
    </row>
    <row r="150" spans="5:19" ht="13.95" hidden="1" customHeight="1" x14ac:dyDescent="0.3">
      <c r="E150" s="5" t="s">
        <v>19</v>
      </c>
      <c r="F150" s="8" t="e">
        <f>SUM(F74,#REF!,F53,F32,F11)</f>
        <v>#REF!</v>
      </c>
      <c r="G150" s="8" t="e">
        <f>SUM(G74,#REF!,G53,G32,G11)</f>
        <v>#REF!</v>
      </c>
      <c r="H150" s="8" t="e">
        <f>SUM(H74,#REF!,H53,H32,H11)</f>
        <v>#REF!</v>
      </c>
      <c r="I150" s="8" t="e">
        <f>SUM(I74,#REF!,I53,I32,I11)</f>
        <v>#REF!</v>
      </c>
      <c r="J150" s="8" t="e">
        <f>SUM(J74,#REF!,J53,J32,J11)</f>
        <v>#REF!</v>
      </c>
      <c r="K150" s="8" t="e">
        <f>SUM(K74,#REF!,K53,K32,K11)</f>
        <v>#REF!</v>
      </c>
      <c r="L150" s="8" t="e">
        <f>SUM(L74,#REF!,L53,L32,L11)</f>
        <v>#REF!</v>
      </c>
      <c r="M150" s="8" t="e">
        <f>SUM(M74,#REF!,M53,M32,M11)</f>
        <v>#REF!</v>
      </c>
      <c r="N150" s="8" t="e">
        <f>SUM(N74,#REF!,N53,N32,N11,N110)</f>
        <v>#REF!</v>
      </c>
      <c r="O150" s="8" t="e">
        <f>SUM(O74,#REF!,O53,O32,O11,O110)</f>
        <v>#REF!</v>
      </c>
      <c r="P150" s="13" t="e">
        <f>SUM(P74,#REF!,P53,P32,P11,P110)</f>
        <v>#REF!</v>
      </c>
      <c r="Q150" s="13" t="e">
        <f>SUM(Q74,#REF!,Q53,Q32,Q11,Q110)</f>
        <v>#REF!</v>
      </c>
    </row>
    <row r="151" spans="5:19" x14ac:dyDescent="0.3">
      <c r="E151" s="14" t="s">
        <v>18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8">
        <v>0</v>
      </c>
      <c r="M151" s="8">
        <v>4</v>
      </c>
      <c r="N151" s="8">
        <v>36</v>
      </c>
      <c r="O151" s="8">
        <v>91</v>
      </c>
      <c r="P151" s="13">
        <v>0</v>
      </c>
      <c r="Q151" s="13">
        <v>0</v>
      </c>
    </row>
    <row r="152" spans="5:19" x14ac:dyDescent="0.3">
      <c r="E152" s="14" t="s">
        <v>17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44</v>
      </c>
      <c r="N152" s="8">
        <v>292</v>
      </c>
      <c r="O152" s="8">
        <v>627</v>
      </c>
      <c r="P152" s="13">
        <v>9</v>
      </c>
      <c r="Q152" s="13">
        <v>4</v>
      </c>
    </row>
    <row r="153" spans="5:19" x14ac:dyDescent="0.3">
      <c r="E153" s="5" t="s">
        <v>16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3916</v>
      </c>
      <c r="N153" s="8">
        <v>5389</v>
      </c>
      <c r="O153" s="8">
        <v>9781</v>
      </c>
      <c r="P153" s="8">
        <v>4730</v>
      </c>
      <c r="Q153" s="8">
        <v>4679</v>
      </c>
      <c r="S153" s="12"/>
    </row>
    <row r="154" spans="5:19" x14ac:dyDescent="0.3">
      <c r="E154" s="5" t="s">
        <v>15</v>
      </c>
      <c r="F154" s="11">
        <v>325</v>
      </c>
      <c r="G154" s="11">
        <v>418</v>
      </c>
      <c r="H154" s="11">
        <v>254</v>
      </c>
      <c r="I154" s="11">
        <v>208</v>
      </c>
      <c r="J154" s="11">
        <v>234</v>
      </c>
      <c r="K154" s="11">
        <v>318</v>
      </c>
      <c r="L154" s="11">
        <v>623</v>
      </c>
      <c r="M154" s="11">
        <v>557</v>
      </c>
      <c r="N154" s="11">
        <v>1084</v>
      </c>
      <c r="O154" s="11">
        <v>1121</v>
      </c>
      <c r="P154" s="11">
        <v>852</v>
      </c>
      <c r="Q154" s="11">
        <v>1041</v>
      </c>
      <c r="S154" s="12"/>
    </row>
    <row r="155" spans="5:19" x14ac:dyDescent="0.3">
      <c r="E155" s="5" t="s">
        <v>14</v>
      </c>
      <c r="F155" s="11">
        <v>4.2565095760705801E-2</v>
      </c>
      <c r="G155" s="11">
        <v>4.9481641162371831E-2</v>
      </c>
      <c r="H155" s="11">
        <v>4.7154982709839671E-2</v>
      </c>
      <c r="I155" s="11">
        <v>3.8973228860594192E-2</v>
      </c>
      <c r="J155" s="11">
        <v>3.8047763507824718E-2</v>
      </c>
      <c r="K155" s="11">
        <v>3.9463526333006219E-2</v>
      </c>
      <c r="L155" s="11">
        <v>4.6894738198973933E-2</v>
      </c>
      <c r="M155" s="11">
        <v>4.7205178586496616E-2</v>
      </c>
      <c r="N155" s="11">
        <v>6.2576929329524605E-2</v>
      </c>
      <c r="O155" s="11">
        <v>0.11426535356721457</v>
      </c>
      <c r="P155" s="11">
        <v>5.8597621407333995E-2</v>
      </c>
      <c r="Q155" s="11">
        <v>5.8729760261076944E-2</v>
      </c>
    </row>
    <row r="156" spans="5:19" x14ac:dyDescent="0.3">
      <c r="E156" s="5" t="s">
        <v>13</v>
      </c>
      <c r="F156" s="11">
        <v>871</v>
      </c>
      <c r="G156" s="11">
        <v>1173</v>
      </c>
      <c r="H156" s="11">
        <v>1185</v>
      </c>
      <c r="I156" s="11">
        <v>1062</v>
      </c>
      <c r="J156" s="11">
        <v>1182</v>
      </c>
      <c r="K156" s="11">
        <v>1106</v>
      </c>
      <c r="L156" s="11">
        <v>918</v>
      </c>
      <c r="M156" s="11">
        <v>992</v>
      </c>
      <c r="N156" s="11">
        <v>1417</v>
      </c>
      <c r="O156" s="11">
        <v>1897</v>
      </c>
      <c r="P156" s="11">
        <v>1696</v>
      </c>
      <c r="Q156" s="11">
        <v>1540</v>
      </c>
    </row>
    <row r="157" spans="5:19" x14ac:dyDescent="0.3">
      <c r="E157" s="5" t="s">
        <v>12</v>
      </c>
      <c r="F157" s="11">
        <v>1690</v>
      </c>
      <c r="G157" s="11">
        <v>1925</v>
      </c>
      <c r="H157" s="11">
        <v>1546</v>
      </c>
      <c r="I157" s="11">
        <v>1355</v>
      </c>
      <c r="J157" s="11">
        <v>1342</v>
      </c>
      <c r="K157" s="11">
        <v>1444</v>
      </c>
      <c r="L157" s="11">
        <v>2065</v>
      </c>
      <c r="M157" s="11">
        <v>2160</v>
      </c>
      <c r="N157" s="11">
        <v>2591</v>
      </c>
      <c r="O157" s="11">
        <v>3613</v>
      </c>
      <c r="P157" s="11">
        <v>2468</v>
      </c>
      <c r="Q157" s="11">
        <v>1788</v>
      </c>
    </row>
    <row r="158" spans="5:19" x14ac:dyDescent="0.3">
      <c r="E158" s="5" t="s">
        <v>11</v>
      </c>
      <c r="F158" s="11">
        <v>254</v>
      </c>
      <c r="G158" s="11">
        <v>189</v>
      </c>
      <c r="H158" s="11">
        <v>162</v>
      </c>
      <c r="I158" s="11">
        <v>246</v>
      </c>
      <c r="J158" s="11">
        <v>220</v>
      </c>
      <c r="K158" s="11">
        <v>270</v>
      </c>
      <c r="L158" s="11">
        <v>449</v>
      </c>
      <c r="M158" s="8">
        <v>602</v>
      </c>
      <c r="N158" s="8">
        <v>1500</v>
      </c>
      <c r="O158" s="8">
        <v>1391</v>
      </c>
      <c r="P158" s="8">
        <v>396</v>
      </c>
      <c r="Q158" s="8">
        <v>958</v>
      </c>
    </row>
    <row r="159" spans="5:19" x14ac:dyDescent="0.3">
      <c r="E159" s="5" t="s">
        <v>10</v>
      </c>
      <c r="F159" s="11">
        <v>0</v>
      </c>
      <c r="G159" s="11">
        <v>0</v>
      </c>
      <c r="H159" s="11">
        <v>0</v>
      </c>
      <c r="I159" s="11">
        <v>0</v>
      </c>
      <c r="J159" s="11">
        <v>45</v>
      </c>
      <c r="K159" s="11">
        <v>39</v>
      </c>
      <c r="L159" s="11">
        <v>30</v>
      </c>
      <c r="M159" s="8">
        <v>23</v>
      </c>
      <c r="N159" s="8">
        <v>24</v>
      </c>
      <c r="O159" s="8">
        <v>20</v>
      </c>
      <c r="P159" s="8">
        <v>32</v>
      </c>
      <c r="Q159" s="8">
        <v>58</v>
      </c>
    </row>
    <row r="160" spans="5:19" x14ac:dyDescent="0.3">
      <c r="E160" s="5" t="s">
        <v>9</v>
      </c>
      <c r="F160" s="8">
        <v>0</v>
      </c>
      <c r="G160" s="8">
        <v>0</v>
      </c>
      <c r="H160" s="8">
        <v>0</v>
      </c>
      <c r="I160" s="8">
        <v>0</v>
      </c>
      <c r="J160" s="8">
        <v>15</v>
      </c>
      <c r="K160" s="8">
        <v>10</v>
      </c>
      <c r="L160" s="8">
        <v>10</v>
      </c>
      <c r="M160" s="8">
        <v>9</v>
      </c>
      <c r="N160" s="8">
        <v>4</v>
      </c>
      <c r="O160" s="8">
        <v>9</v>
      </c>
      <c r="P160" s="8">
        <v>15</v>
      </c>
      <c r="Q160" s="8">
        <v>68</v>
      </c>
    </row>
    <row r="161" spans="5:22" x14ac:dyDescent="0.3">
      <c r="E161" s="5" t="s">
        <v>8</v>
      </c>
      <c r="F161" s="10">
        <v>152</v>
      </c>
      <c r="G161" s="10">
        <v>202</v>
      </c>
      <c r="H161" s="10">
        <v>407</v>
      </c>
      <c r="I161" s="10">
        <v>202</v>
      </c>
      <c r="J161" s="10">
        <v>43</v>
      </c>
      <c r="K161" s="10">
        <v>147</v>
      </c>
      <c r="L161" s="10">
        <v>166</v>
      </c>
      <c r="M161" s="10">
        <v>174</v>
      </c>
      <c r="N161" s="10">
        <v>145</v>
      </c>
      <c r="O161" s="10">
        <v>3478</v>
      </c>
      <c r="P161" s="10">
        <v>132</v>
      </c>
      <c r="Q161" s="10">
        <v>271</v>
      </c>
    </row>
    <row r="162" spans="5:22" x14ac:dyDescent="0.3">
      <c r="E162" s="5" t="s">
        <v>7</v>
      </c>
      <c r="F162" s="8">
        <v>43191853</v>
      </c>
      <c r="G162" s="8">
        <v>43482181</v>
      </c>
      <c r="H162" s="8">
        <v>44215381</v>
      </c>
      <c r="I162" s="8">
        <v>44907576</v>
      </c>
      <c r="J162" s="8">
        <v>45357962</v>
      </c>
      <c r="K162" s="8">
        <v>45796983</v>
      </c>
      <c r="L162" s="8">
        <v>47948830</v>
      </c>
      <c r="M162" s="8">
        <v>48189409</v>
      </c>
      <c r="N162" s="8">
        <v>48628835</v>
      </c>
      <c r="O162" s="8">
        <v>48974020</v>
      </c>
      <c r="P162" s="8">
        <v>48936232</v>
      </c>
      <c r="Q162" s="8">
        <v>48790404</v>
      </c>
    </row>
    <row r="163" spans="5:22" x14ac:dyDescent="0.3">
      <c r="E163" s="5" t="s">
        <v>6</v>
      </c>
      <c r="F163" s="8">
        <v>42884773.120000005</v>
      </c>
      <c r="G163" s="8">
        <v>42804589.949999996</v>
      </c>
      <c r="H163" s="8">
        <v>44543605.649999999</v>
      </c>
      <c r="I163" s="8">
        <v>45532891.379999988</v>
      </c>
      <c r="J163" s="8">
        <v>46118261.089999996</v>
      </c>
      <c r="K163" s="8">
        <v>47454978.579992041</v>
      </c>
      <c r="L163" s="8">
        <v>51506579.669989243</v>
      </c>
      <c r="M163" s="8">
        <v>52858780.979988262</v>
      </c>
      <c r="N163" s="8">
        <v>52191826.48999095</v>
      </c>
      <c r="O163" s="8">
        <v>51025803.479992069</v>
      </c>
      <c r="P163" s="8">
        <v>50246242.789994009</v>
      </c>
      <c r="Q163" s="8">
        <v>49879183.979995176</v>
      </c>
    </row>
    <row r="164" spans="5:22" x14ac:dyDescent="0.3">
      <c r="E164" s="5" t="s">
        <v>5</v>
      </c>
      <c r="F164" s="8">
        <v>42226161.750000015</v>
      </c>
      <c r="G164" s="8">
        <v>42191984.350000009</v>
      </c>
      <c r="H164" s="8">
        <v>43881289.669999994</v>
      </c>
      <c r="I164" s="8">
        <v>44939120.079999983</v>
      </c>
      <c r="J164" s="8">
        <v>45550356.329999998</v>
      </c>
      <c r="K164" s="8">
        <v>44266258.259991981</v>
      </c>
      <c r="L164" s="8">
        <v>47526596.579989143</v>
      </c>
      <c r="M164" s="8">
        <v>48875509.639988147</v>
      </c>
      <c r="N164" s="8">
        <v>47985503.939990848</v>
      </c>
      <c r="O164" s="8">
        <v>45384208.459991924</v>
      </c>
      <c r="P164" s="8">
        <v>45751860.809993915</v>
      </c>
      <c r="Q164" s="8">
        <v>44025064.109994978</v>
      </c>
    </row>
    <row r="165" spans="5:22" x14ac:dyDescent="0.3">
      <c r="E165" s="5" t="s">
        <v>4</v>
      </c>
      <c r="F165" s="9">
        <v>1.5357697431605088E-2</v>
      </c>
      <c r="G165" s="9">
        <v>1.4311680142610195E-2</v>
      </c>
      <c r="H165" s="9">
        <v>1.4868935065655231E-2</v>
      </c>
      <c r="I165" s="9">
        <v>1.3040491873108073E-2</v>
      </c>
      <c r="J165" s="9">
        <v>1.2314097422097658E-2</v>
      </c>
      <c r="K165" s="9">
        <v>6.719464248888074E-2</v>
      </c>
      <c r="L165" s="9">
        <v>7.7271352815513672E-2</v>
      </c>
      <c r="M165" s="9">
        <v>7.5356852090632476E-2</v>
      </c>
      <c r="N165" s="9">
        <v>8.0593511146937247E-2</v>
      </c>
      <c r="O165" s="9">
        <v>0.11056357049257037</v>
      </c>
      <c r="P165" s="9">
        <v>8.9447125405665129E-2</v>
      </c>
      <c r="Q165" s="9">
        <v>0.11736599123891212</v>
      </c>
    </row>
    <row r="166" spans="5:22" x14ac:dyDescent="0.3">
      <c r="E166" s="5" t="s">
        <v>3</v>
      </c>
      <c r="F166" s="8">
        <v>1963</v>
      </c>
      <c r="G166" s="8">
        <v>3484</v>
      </c>
      <c r="H166" s="8">
        <v>5988</v>
      </c>
      <c r="I166" s="8">
        <v>4805</v>
      </c>
      <c r="J166" s="8">
        <v>3762</v>
      </c>
      <c r="K166" s="8">
        <v>4056</v>
      </c>
      <c r="L166" s="8">
        <v>8911</v>
      </c>
      <c r="M166" s="8">
        <v>7129</v>
      </c>
      <c r="N166" s="8">
        <v>5183</v>
      </c>
      <c r="O166" s="8">
        <v>5837</v>
      </c>
      <c r="P166" s="8">
        <v>5031</v>
      </c>
      <c r="Q166" s="8">
        <v>3932</v>
      </c>
    </row>
    <row r="167" spans="5:22" x14ac:dyDescent="0.3">
      <c r="E167" s="5" t="s">
        <v>2</v>
      </c>
      <c r="F167" s="8">
        <v>608.19975776829153</v>
      </c>
      <c r="G167" s="8">
        <v>611.6514239375839</v>
      </c>
      <c r="H167" s="8">
        <v>605.93652260855367</v>
      </c>
      <c r="I167" s="8">
        <v>608.50884547021781</v>
      </c>
      <c r="J167" s="8">
        <v>603.44469859339222</v>
      </c>
      <c r="K167" s="8">
        <v>611.7066511123262</v>
      </c>
      <c r="L167" s="8">
        <v>620.88286304940198</v>
      </c>
      <c r="M167" s="8">
        <v>613.79480457033674</v>
      </c>
      <c r="N167" s="8">
        <v>609.72472213449862</v>
      </c>
      <c r="O167" s="8">
        <v>632.1333434092179</v>
      </c>
      <c r="P167" s="8">
        <v>630.6795881761517</v>
      </c>
      <c r="Q167" s="8">
        <v>624.37172481123559</v>
      </c>
      <c r="T167" s="7"/>
    </row>
    <row r="168" spans="5:22" x14ac:dyDescent="0.3">
      <c r="E168" s="5" t="s">
        <v>1</v>
      </c>
      <c r="F168" s="4">
        <v>1066323.1885678489</v>
      </c>
      <c r="G168" s="4">
        <v>938412.7983999995</v>
      </c>
      <c r="H168" s="4">
        <v>1014939.1274599992</v>
      </c>
      <c r="I168" s="4">
        <v>1700729.9264000033</v>
      </c>
      <c r="J168" s="4">
        <v>1494103.8514000042</v>
      </c>
      <c r="K168" s="4">
        <v>1264135.9441000028</v>
      </c>
      <c r="L168" s="4">
        <v>1387083.3534000029</v>
      </c>
      <c r="M168" s="4">
        <v>1894167.7007000151</v>
      </c>
      <c r="N168" s="4">
        <v>1768855.1568333395</v>
      </c>
      <c r="O168" s="4">
        <v>1399017.9113333374</v>
      </c>
      <c r="P168" s="4">
        <v>1481236.0986666812</v>
      </c>
      <c r="Q168" s="4">
        <v>1728848.1382496811</v>
      </c>
      <c r="T168" s="3"/>
      <c r="V168" s="6"/>
    </row>
    <row r="169" spans="5:22" x14ac:dyDescent="0.3">
      <c r="E169" s="5" t="s">
        <v>0</v>
      </c>
      <c r="F169" s="4">
        <v>530053.18000000005</v>
      </c>
      <c r="G169" s="4">
        <v>739318.82000000007</v>
      </c>
      <c r="H169" s="4">
        <v>1423031.8900000001</v>
      </c>
      <c r="I169" s="4">
        <v>2039813.7</v>
      </c>
      <c r="J169" s="4">
        <v>2140893.91</v>
      </c>
      <c r="K169" s="4">
        <v>1391215.6300000001</v>
      </c>
      <c r="L169" s="4">
        <v>1627063.9200000002</v>
      </c>
      <c r="M169" s="4">
        <v>2567754.210000006</v>
      </c>
      <c r="N169" s="4">
        <v>2081650.3800000013</v>
      </c>
      <c r="O169" s="4">
        <v>1488479.43</v>
      </c>
      <c r="P169" s="4">
        <v>1631179.0399999998</v>
      </c>
      <c r="Q169" s="4">
        <v>1812869.51</v>
      </c>
      <c r="T169" s="3"/>
    </row>
    <row r="170" spans="5:22" s="2" customFormat="1" ht="4.95" customHeight="1" x14ac:dyDescent="0.3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2133-14B5-4D17-95CB-7A5281960935}">
  <sheetPr codeName="Planilha9">
    <tabColor theme="3" tint="-0.499984740745262"/>
  </sheetPr>
  <dimension ref="A1:V304"/>
  <sheetViews>
    <sheetView zoomScale="80" zoomScaleNormal="80" workbookViewId="0">
      <selection activeCell="J7" sqref="J7"/>
    </sheetView>
  </sheetViews>
  <sheetFormatPr defaultColWidth="9.33203125" defaultRowHeight="14.4" x14ac:dyDescent="0.3"/>
  <cols>
    <col min="1" max="3" width="9.33203125" style="1"/>
    <col min="4" max="4" width="0.88671875" style="2" customWidth="1"/>
    <col min="5" max="5" width="30.109375" style="1" bestFit="1" customWidth="1"/>
    <col min="6" max="9" width="15.44140625" style="1" bestFit="1" customWidth="1"/>
    <col min="10" max="10" width="14.109375" style="1" bestFit="1" customWidth="1"/>
    <col min="11" max="12" width="15.5546875" style="1" bestFit="1" customWidth="1"/>
    <col min="13" max="13" width="18" style="1" customWidth="1"/>
    <col min="14" max="14" width="16.6640625" style="1" bestFit="1" customWidth="1"/>
    <col min="15" max="15" width="15.5546875" style="1" bestFit="1" customWidth="1"/>
    <col min="16" max="16" width="15.109375" style="1" bestFit="1" customWidth="1"/>
    <col min="17" max="17" width="14.88671875" style="1" bestFit="1" customWidth="1"/>
    <col min="18" max="18" width="0.88671875" style="2" customWidth="1"/>
    <col min="19" max="20" width="13.88671875" style="28" bestFit="1" customWidth="1"/>
    <col min="21" max="21" width="13.88671875" style="1" bestFit="1" customWidth="1"/>
    <col min="22" max="16384" width="9.33203125" style="1"/>
  </cols>
  <sheetData>
    <row r="1" spans="1:20" s="28" customFormat="1" x14ac:dyDescent="0.3">
      <c r="D1" s="2"/>
      <c r="E1" s="1"/>
      <c r="F1" s="1"/>
      <c r="G1" s="1"/>
      <c r="H1" s="1"/>
      <c r="I1" s="1"/>
      <c r="J1" s="1"/>
      <c r="K1" s="1"/>
      <c r="L1" s="1"/>
      <c r="M1" s="1"/>
      <c r="N1" s="1"/>
      <c r="R1" s="2"/>
    </row>
    <row r="2" spans="1:20" s="28" customFormat="1" x14ac:dyDescent="0.3">
      <c r="D2" s="2"/>
      <c r="E2" s="1"/>
      <c r="F2" s="1"/>
      <c r="G2" s="1"/>
      <c r="H2" s="1"/>
      <c r="I2" s="1"/>
      <c r="J2" s="1"/>
      <c r="K2" s="1"/>
      <c r="L2" s="1"/>
      <c r="M2" s="1"/>
      <c r="N2" s="1"/>
      <c r="R2" s="2"/>
    </row>
    <row r="3" spans="1:20" s="28" customFormat="1" x14ac:dyDescent="0.3">
      <c r="D3" s="2"/>
      <c r="E3" s="1"/>
      <c r="F3" s="1"/>
      <c r="G3" s="1"/>
      <c r="H3" s="1"/>
      <c r="I3" s="1"/>
      <c r="J3" s="1"/>
      <c r="K3" s="1"/>
      <c r="L3" s="1"/>
      <c r="M3" s="1"/>
      <c r="N3" s="1"/>
      <c r="R3" s="2"/>
    </row>
    <row r="4" spans="1:20" s="28" customFormat="1" x14ac:dyDescent="0.3">
      <c r="D4" s="2"/>
      <c r="E4" s="1"/>
      <c r="F4" s="1"/>
      <c r="G4" s="1"/>
      <c r="H4" s="1"/>
      <c r="I4" s="1"/>
      <c r="J4" s="1"/>
      <c r="K4" s="1"/>
      <c r="L4" s="1"/>
      <c r="M4" s="1"/>
      <c r="N4" s="1"/>
      <c r="R4" s="2"/>
    </row>
    <row r="5" spans="1:20" s="28" customFormat="1" x14ac:dyDescent="0.3">
      <c r="D5" s="2"/>
      <c r="E5" s="1"/>
      <c r="F5" s="1"/>
      <c r="G5" s="1"/>
      <c r="H5" s="1"/>
      <c r="I5" s="1"/>
      <c r="J5" s="1"/>
      <c r="K5" s="1"/>
      <c r="L5" s="1"/>
      <c r="M5" s="1"/>
      <c r="N5" s="1"/>
      <c r="R5" s="2"/>
    </row>
    <row r="6" spans="1:20" s="28" customFormat="1" x14ac:dyDescent="0.3">
      <c r="D6" s="2"/>
      <c r="E6" s="1"/>
      <c r="F6" s="1"/>
      <c r="G6" s="1"/>
      <c r="H6" s="1"/>
      <c r="I6" s="1"/>
      <c r="J6" s="1"/>
      <c r="K6" s="1"/>
      <c r="L6" s="1"/>
      <c r="M6" s="1"/>
      <c r="N6" s="1"/>
      <c r="R6" s="2"/>
    </row>
    <row r="7" spans="1:20" s="28" customFormat="1" x14ac:dyDescent="0.3">
      <c r="D7" s="2"/>
      <c r="E7" s="1"/>
      <c r="F7" s="1"/>
      <c r="G7" s="1"/>
      <c r="H7" s="1"/>
      <c r="I7" s="1"/>
      <c r="J7" s="1"/>
      <c r="K7" s="1"/>
      <c r="L7" s="1"/>
      <c r="M7" s="1"/>
      <c r="N7" s="1"/>
      <c r="R7" s="2"/>
    </row>
    <row r="8" spans="1:20" s="28" customFormat="1" x14ac:dyDescent="0.3">
      <c r="D8" s="2"/>
      <c r="E8" s="1"/>
      <c r="F8" s="1"/>
      <c r="G8" s="1"/>
      <c r="H8" s="1"/>
      <c r="I8" s="1"/>
      <c r="J8" s="1"/>
      <c r="K8" s="1"/>
      <c r="L8" s="1"/>
      <c r="M8" s="1"/>
      <c r="N8" s="1"/>
      <c r="R8" s="2"/>
    </row>
    <row r="9" spans="1:20" ht="2.4" customHeight="1" x14ac:dyDescent="0.3">
      <c r="A9" s="2"/>
      <c r="B9" s="2"/>
      <c r="C9" s="2"/>
      <c r="E9" s="29"/>
      <c r="F9" s="30"/>
      <c r="G9" s="29"/>
      <c r="H9" s="29"/>
      <c r="I9" s="29"/>
      <c r="J9" s="29"/>
      <c r="K9" s="29"/>
      <c r="L9" s="29"/>
      <c r="M9" s="2"/>
      <c r="N9" s="2"/>
      <c r="O9" s="2"/>
      <c r="P9" s="2"/>
      <c r="Q9" s="2"/>
    </row>
    <row r="10" spans="1:20" x14ac:dyDescent="0.3">
      <c r="E10" s="54" t="s">
        <v>33</v>
      </c>
      <c r="F10" s="54" t="s">
        <v>32</v>
      </c>
      <c r="G10" s="54" t="s">
        <v>31</v>
      </c>
      <c r="H10" s="54" t="s">
        <v>30</v>
      </c>
      <c r="I10" s="54" t="s">
        <v>29</v>
      </c>
      <c r="J10" s="54" t="s">
        <v>28</v>
      </c>
      <c r="K10" s="54" t="s">
        <v>27</v>
      </c>
      <c r="L10" s="54" t="s">
        <v>26</v>
      </c>
      <c r="M10" s="54" t="s">
        <v>25</v>
      </c>
      <c r="N10" s="54" t="s">
        <v>24</v>
      </c>
      <c r="O10" s="54" t="s">
        <v>23</v>
      </c>
      <c r="P10" s="54" t="s">
        <v>22</v>
      </c>
      <c r="Q10" s="54" t="s">
        <v>21</v>
      </c>
    </row>
    <row r="11" spans="1:20" s="70" customFormat="1" hidden="1" x14ac:dyDescent="0.3">
      <c r="E11" s="72"/>
      <c r="F11" s="73" t="e">
        <v>#REF!</v>
      </c>
      <c r="G11" s="73">
        <f>F13-G16+G28</f>
        <v>66456</v>
      </c>
      <c r="H11" s="73">
        <f>G13-H16+H28</f>
        <v>62722</v>
      </c>
      <c r="I11" s="73">
        <f>H13-I16+I28</f>
        <v>59820</v>
      </c>
      <c r="J11" s="73">
        <f>I13-J16+J28</f>
        <v>57356</v>
      </c>
      <c r="K11" s="73">
        <f>J13-K16+K28</f>
        <v>55002</v>
      </c>
      <c r="L11" s="73">
        <f>K13-L16+L28</f>
        <v>49254</v>
      </c>
      <c r="M11" s="73">
        <f>L13-M16+M28</f>
        <v>45055</v>
      </c>
      <c r="N11" s="73">
        <f>M13-N16+N28</f>
        <v>42461</v>
      </c>
      <c r="O11" s="73">
        <f>N13-O16+O28</f>
        <v>40673</v>
      </c>
      <c r="P11" s="73">
        <f>O13-P16+P28</f>
        <v>39479</v>
      </c>
      <c r="Q11" s="72"/>
      <c r="S11" s="71"/>
      <c r="T11" s="71"/>
    </row>
    <row r="12" spans="1:20" s="70" customFormat="1" hidden="1" x14ac:dyDescent="0.3">
      <c r="E12" s="72"/>
      <c r="F12" s="73" t="e">
        <f>F13-F11</f>
        <v>#REF!</v>
      </c>
      <c r="G12" s="73">
        <f>G13-G11</f>
        <v>918</v>
      </c>
      <c r="H12" s="73">
        <f>H13-H11</f>
        <v>-87</v>
      </c>
      <c r="I12" s="73">
        <f>I13-I11</f>
        <v>41</v>
      </c>
      <c r="J12" s="73">
        <f>J13-J11</f>
        <v>79</v>
      </c>
      <c r="K12" s="73">
        <f>K13-K11</f>
        <v>-177</v>
      </c>
      <c r="L12" s="73">
        <f>L13-L11</f>
        <v>-691</v>
      </c>
      <c r="M12" s="73">
        <f>M13-M11</f>
        <v>-26</v>
      </c>
      <c r="N12" s="73">
        <f>N13-N11</f>
        <v>-182</v>
      </c>
      <c r="O12" s="73">
        <f>O13-O11</f>
        <v>-219</v>
      </c>
      <c r="P12" s="73">
        <f>P13-P11</f>
        <v>-45</v>
      </c>
      <c r="Q12" s="72"/>
      <c r="S12" s="71"/>
      <c r="T12" s="71"/>
    </row>
    <row r="13" spans="1:20" x14ac:dyDescent="0.3">
      <c r="E13" s="5" t="s">
        <v>19</v>
      </c>
      <c r="F13" s="8">
        <f>SUM(F14:F15)</f>
        <v>67476</v>
      </c>
      <c r="G13" s="8">
        <f>SUM(G14:G15)</f>
        <v>67374</v>
      </c>
      <c r="H13" s="8">
        <f>SUM(H14:H15)</f>
        <v>62635</v>
      </c>
      <c r="I13" s="8">
        <f>SUM(I14:I15)</f>
        <v>59861</v>
      </c>
      <c r="J13" s="8">
        <f>SUM(J14:J15)</f>
        <v>57435</v>
      </c>
      <c r="K13" s="8">
        <f>SUM(K14:K15)</f>
        <v>54825</v>
      </c>
      <c r="L13" s="8">
        <f>SUM(L14:L15)</f>
        <v>48563</v>
      </c>
      <c r="M13" s="8">
        <f>SUM(M14:M15)</f>
        <v>45029</v>
      </c>
      <c r="N13" s="8">
        <f>SUM(N14:N15)</f>
        <v>42279</v>
      </c>
      <c r="O13" s="8">
        <f>SUM(O14:O15)</f>
        <v>40454</v>
      </c>
      <c r="P13" s="8">
        <f>SUM(P14:P15)</f>
        <v>39434</v>
      </c>
      <c r="Q13" s="8">
        <f>SUM(Q14:Q15)</f>
        <v>38757</v>
      </c>
    </row>
    <row r="14" spans="1:20" x14ac:dyDescent="0.3">
      <c r="E14" s="14" t="s">
        <v>41</v>
      </c>
      <c r="F14" s="8">
        <v>1603</v>
      </c>
      <c r="G14" s="8">
        <v>1616</v>
      </c>
      <c r="H14" s="8">
        <v>1685</v>
      </c>
      <c r="I14" s="8">
        <v>1786</v>
      </c>
      <c r="J14" s="8">
        <v>1729</v>
      </c>
      <c r="K14" s="8">
        <v>1747</v>
      </c>
      <c r="L14" s="8">
        <v>1810</v>
      </c>
      <c r="M14" s="62">
        <v>1785</v>
      </c>
      <c r="N14" s="62">
        <v>1644</v>
      </c>
      <c r="O14" s="62">
        <v>1570</v>
      </c>
      <c r="P14" s="62">
        <v>1553</v>
      </c>
      <c r="Q14" s="62">
        <v>1541</v>
      </c>
    </row>
    <row r="15" spans="1:20" x14ac:dyDescent="0.3">
      <c r="E15" s="14" t="s">
        <v>40</v>
      </c>
      <c r="F15" s="8">
        <v>65873</v>
      </c>
      <c r="G15" s="8">
        <v>65758</v>
      </c>
      <c r="H15" s="8">
        <v>60950</v>
      </c>
      <c r="I15" s="8">
        <v>58075</v>
      </c>
      <c r="J15" s="8">
        <v>55706</v>
      </c>
      <c r="K15" s="8">
        <v>53078</v>
      </c>
      <c r="L15" s="8">
        <v>46753</v>
      </c>
      <c r="M15" s="62">
        <v>43244</v>
      </c>
      <c r="N15" s="62">
        <v>40635</v>
      </c>
      <c r="O15" s="62">
        <v>38884</v>
      </c>
      <c r="P15" s="62">
        <v>37881</v>
      </c>
      <c r="Q15" s="62">
        <v>37216</v>
      </c>
    </row>
    <row r="16" spans="1:20" x14ac:dyDescent="0.3">
      <c r="E16" s="5" t="s">
        <v>39</v>
      </c>
      <c r="F16" s="8">
        <f>SUM(F19:F24)</f>
        <v>4721</v>
      </c>
      <c r="G16" s="8">
        <f>SUM(G19:G24)</f>
        <v>3855</v>
      </c>
      <c r="H16" s="8">
        <f>SUM(H19:H24)</f>
        <v>7570</v>
      </c>
      <c r="I16" s="8">
        <f>SUM(I19:I24)</f>
        <v>5714</v>
      </c>
      <c r="J16" s="8">
        <f>SUM(J19:J24)</f>
        <v>4131</v>
      </c>
      <c r="K16" s="8">
        <f>SUM(K19:K24)</f>
        <v>4320</v>
      </c>
      <c r="L16" s="8">
        <f>SUM(L19:L24)</f>
        <v>8602</v>
      </c>
      <c r="M16" s="8">
        <f>SUM(M19:M24)</f>
        <v>5505</v>
      </c>
      <c r="N16" s="8">
        <f>SUM(N19:N24)</f>
        <v>4003</v>
      </c>
      <c r="O16" s="8">
        <f>SUM(O19:O24)</f>
        <v>1982</v>
      </c>
      <c r="P16" s="8">
        <f>SUM(P19:P24)</f>
        <v>1668</v>
      </c>
      <c r="Q16" s="8">
        <f>SUM(Q19:Q24)</f>
        <v>1528</v>
      </c>
    </row>
    <row r="17" spans="1:17" x14ac:dyDescent="0.3">
      <c r="E17" s="5" t="s">
        <v>15</v>
      </c>
      <c r="F17" s="8">
        <v>1015</v>
      </c>
      <c r="G17" s="8">
        <v>773</v>
      </c>
      <c r="H17" s="8">
        <v>845</v>
      </c>
      <c r="I17" s="8">
        <v>496</v>
      </c>
      <c r="J17" s="8">
        <v>714</v>
      </c>
      <c r="K17" s="8">
        <v>1040</v>
      </c>
      <c r="L17" s="8">
        <v>1210</v>
      </c>
      <c r="M17" s="8">
        <v>696</v>
      </c>
      <c r="N17" s="8">
        <v>574</v>
      </c>
      <c r="O17" s="8">
        <v>433</v>
      </c>
      <c r="P17" s="8">
        <v>686</v>
      </c>
      <c r="Q17" s="8">
        <v>364</v>
      </c>
    </row>
    <row r="18" spans="1:17" x14ac:dyDescent="0.3">
      <c r="E18" s="5" t="s">
        <v>14</v>
      </c>
      <c r="F18" s="10">
        <v>6.8508656092641229E-2</v>
      </c>
      <c r="G18" s="10">
        <f>IFERROR((G16/F13),0)</f>
        <v>5.7131424506491196E-2</v>
      </c>
      <c r="H18" s="10">
        <f>IFERROR((H16/G13),0)</f>
        <v>0.11235788286282543</v>
      </c>
      <c r="I18" s="10">
        <f>IFERROR((I16/H13),0)</f>
        <v>9.1226949788456926E-2</v>
      </c>
      <c r="J18" s="10">
        <f>IFERROR((J16/I13),0)</f>
        <v>6.9009872872153821E-2</v>
      </c>
      <c r="K18" s="10">
        <f>IFERROR((K16/J13),0)</f>
        <v>7.521546095586315E-2</v>
      </c>
      <c r="L18" s="10">
        <f>IFERROR((L16/K13),0)</f>
        <v>0.15689922480620155</v>
      </c>
      <c r="M18" s="10">
        <f>IFERROR((M16/L13),0)</f>
        <v>0.11335790622490373</v>
      </c>
      <c r="N18" s="10">
        <f>IFERROR((N16/M13),0)</f>
        <v>8.8898265562193254E-2</v>
      </c>
      <c r="O18" s="10">
        <f>IFERROR((O16/N13),0)</f>
        <v>4.687906525698337E-2</v>
      </c>
      <c r="P18" s="10">
        <f>IFERROR((P16/O13),0)</f>
        <v>4.1232016611459928E-2</v>
      </c>
      <c r="Q18" s="10">
        <f>IFERROR((Q16/P13),0)</f>
        <v>3.8748288279149973E-2</v>
      </c>
    </row>
    <row r="19" spans="1:17" x14ac:dyDescent="0.3">
      <c r="E19" s="5" t="s">
        <v>13</v>
      </c>
      <c r="F19" s="8">
        <v>1490</v>
      </c>
      <c r="G19" s="8">
        <v>1232</v>
      </c>
      <c r="H19" s="8">
        <v>1522</v>
      </c>
      <c r="I19" s="8">
        <v>1583</v>
      </c>
      <c r="J19" s="8">
        <v>1923</v>
      </c>
      <c r="K19" s="8">
        <v>1833</v>
      </c>
      <c r="L19" s="8">
        <v>1365</v>
      </c>
      <c r="M19" s="66">
        <v>1283</v>
      </c>
      <c r="N19" s="66">
        <v>2316</v>
      </c>
      <c r="O19" s="66">
        <v>879</v>
      </c>
      <c r="P19" s="66">
        <v>709</v>
      </c>
      <c r="Q19" s="66">
        <v>530</v>
      </c>
    </row>
    <row r="20" spans="1:17" x14ac:dyDescent="0.3">
      <c r="E20" s="5" t="s">
        <v>12</v>
      </c>
      <c r="F20" s="8">
        <v>2453</v>
      </c>
      <c r="G20" s="8">
        <v>1674</v>
      </c>
      <c r="H20" s="8">
        <v>3496</v>
      </c>
      <c r="I20" s="8">
        <v>2562</v>
      </c>
      <c r="J20" s="8">
        <v>1354</v>
      </c>
      <c r="K20" s="8">
        <v>1787</v>
      </c>
      <c r="L20" s="8">
        <v>4259</v>
      </c>
      <c r="M20" s="66">
        <v>2868</v>
      </c>
      <c r="N20" s="66">
        <v>1154</v>
      </c>
      <c r="O20" s="66">
        <v>757</v>
      </c>
      <c r="P20" s="66">
        <v>643</v>
      </c>
      <c r="Q20" s="66">
        <v>616</v>
      </c>
    </row>
    <row r="21" spans="1:17" x14ac:dyDescent="0.3">
      <c r="E21" s="5" t="s">
        <v>11</v>
      </c>
      <c r="F21" s="8">
        <v>639</v>
      </c>
      <c r="G21" s="8">
        <v>850</v>
      </c>
      <c r="H21" s="8">
        <v>2390</v>
      </c>
      <c r="I21" s="8">
        <v>1510</v>
      </c>
      <c r="J21" s="8">
        <v>809</v>
      </c>
      <c r="K21" s="8">
        <v>655</v>
      </c>
      <c r="L21" s="8">
        <v>2960</v>
      </c>
      <c r="M21" s="66">
        <v>1305</v>
      </c>
      <c r="N21" s="66">
        <v>439</v>
      </c>
      <c r="O21" s="66">
        <v>312</v>
      </c>
      <c r="P21" s="66">
        <v>272</v>
      </c>
      <c r="Q21" s="66">
        <v>213</v>
      </c>
    </row>
    <row r="22" spans="1:17" hidden="1" x14ac:dyDescent="0.3">
      <c r="E22" s="5" t="s">
        <v>48</v>
      </c>
      <c r="F22" s="42">
        <v>22</v>
      </c>
      <c r="G22" s="42">
        <v>25</v>
      </c>
      <c r="H22" s="42">
        <v>52</v>
      </c>
      <c r="I22" s="42" t="s">
        <v>34</v>
      </c>
      <c r="J22" s="8"/>
      <c r="K22" s="8"/>
      <c r="L22" s="8">
        <v>0</v>
      </c>
      <c r="M22" s="8"/>
      <c r="N22" s="8"/>
      <c r="O22" s="8"/>
      <c r="P22" s="8"/>
      <c r="Q22" s="8"/>
    </row>
    <row r="23" spans="1:17" x14ac:dyDescent="0.3">
      <c r="E23" s="5" t="s">
        <v>47</v>
      </c>
      <c r="F23" s="42">
        <v>17</v>
      </c>
      <c r="G23" s="42">
        <v>13</v>
      </c>
      <c r="H23" s="42">
        <v>3</v>
      </c>
      <c r="I23" s="42">
        <v>0</v>
      </c>
      <c r="J23" s="8">
        <v>0</v>
      </c>
      <c r="K23" s="8">
        <v>7</v>
      </c>
      <c r="L23" s="8">
        <v>2</v>
      </c>
      <c r="M23" s="66">
        <v>9</v>
      </c>
      <c r="N23" s="66">
        <v>3</v>
      </c>
      <c r="O23" s="66">
        <v>4</v>
      </c>
      <c r="P23" s="66">
        <v>5</v>
      </c>
      <c r="Q23" s="66">
        <v>14</v>
      </c>
    </row>
    <row r="24" spans="1:17" x14ac:dyDescent="0.3">
      <c r="E24" s="5" t="s">
        <v>46</v>
      </c>
      <c r="F24" s="42">
        <v>100</v>
      </c>
      <c r="G24" s="42">
        <v>61</v>
      </c>
      <c r="H24" s="42">
        <v>107</v>
      </c>
      <c r="I24" s="42">
        <v>59</v>
      </c>
      <c r="J24" s="8">
        <v>45</v>
      </c>
      <c r="K24" s="8">
        <v>38</v>
      </c>
      <c r="L24" s="8">
        <v>16</v>
      </c>
      <c r="M24" s="66">
        <v>40</v>
      </c>
      <c r="N24" s="66">
        <v>91</v>
      </c>
      <c r="O24" s="66">
        <v>30</v>
      </c>
      <c r="P24" s="66">
        <v>39</v>
      </c>
      <c r="Q24" s="66">
        <v>155</v>
      </c>
    </row>
    <row r="25" spans="1:17" x14ac:dyDescent="0.3">
      <c r="E25" s="5" t="s">
        <v>6</v>
      </c>
      <c r="F25" s="23">
        <v>44842300.66999469</v>
      </c>
      <c r="G25" s="23">
        <v>44499708.083334602</v>
      </c>
      <c r="H25" s="23">
        <v>42810222.710000247</v>
      </c>
      <c r="I25" s="8">
        <v>43422254.520000301</v>
      </c>
      <c r="J25" s="8">
        <v>38377906.200001791</v>
      </c>
      <c r="K25" s="8">
        <v>36818173.210001394</v>
      </c>
      <c r="L25" s="8">
        <v>38647052.650000997</v>
      </c>
      <c r="M25" s="63">
        <v>35285220.970000863</v>
      </c>
      <c r="N25" s="63">
        <v>33306250.630000692</v>
      </c>
      <c r="O25" s="8">
        <v>32145010.860000663</v>
      </c>
      <c r="P25" s="8">
        <v>31596726.190000735</v>
      </c>
      <c r="Q25" s="8">
        <v>31022320.320000555</v>
      </c>
    </row>
    <row r="26" spans="1:17" x14ac:dyDescent="0.3">
      <c r="E26" s="5" t="s">
        <v>5</v>
      </c>
      <c r="F26" s="23">
        <v>41786730.399994574</v>
      </c>
      <c r="G26" s="23">
        <v>39328844.169994123</v>
      </c>
      <c r="H26" s="23">
        <v>38832051.160000212</v>
      </c>
      <c r="I26" s="8">
        <v>35171965.369999945</v>
      </c>
      <c r="J26" s="8">
        <v>32932380.950001743</v>
      </c>
      <c r="K26" s="8">
        <v>33083404.420001425</v>
      </c>
      <c r="L26" s="8">
        <v>32460565.420000892</v>
      </c>
      <c r="M26" s="63">
        <v>31568059.980000839</v>
      </c>
      <c r="N26" s="63">
        <v>29995521.070000697</v>
      </c>
      <c r="O26" s="8">
        <v>29257104.05000066</v>
      </c>
      <c r="P26" s="8">
        <v>28792771.290000744</v>
      </c>
      <c r="Q26" s="8">
        <v>28596265.800000567</v>
      </c>
    </row>
    <row r="27" spans="1:17" x14ac:dyDescent="0.3">
      <c r="E27" s="5" t="s">
        <v>4</v>
      </c>
      <c r="F27" s="10">
        <f>IFERROR((1-F26/F25),0)</f>
        <v>6.8140354628251409E-2</v>
      </c>
      <c r="G27" s="10">
        <f>IFERROR((1-G26/G25),0)</f>
        <v>0.11619995132680427</v>
      </c>
      <c r="H27" s="10">
        <f>IFERROR((1-H26/H25),0)</f>
        <v>9.2925738250615453E-2</v>
      </c>
      <c r="I27" s="10">
        <f>IFERROR((1-I26/I25),0)</f>
        <v>0.19000140000101262</v>
      </c>
      <c r="J27" s="10">
        <f>IFERROR((1-J26/J25),0)</f>
        <v>0.14189219238854134</v>
      </c>
      <c r="K27" s="10">
        <f>IFERROR((1-K26/K25),0)</f>
        <v>0.10143818838316088</v>
      </c>
      <c r="L27" s="10">
        <f>IFERROR((1-L26/L25),0)</f>
        <v>0.16007655968041701</v>
      </c>
      <c r="M27" s="10">
        <f>IFERROR((1-M26/M25),0)</f>
        <v>0.10534611624397416</v>
      </c>
      <c r="N27" s="10">
        <f>IFERROR((1-N26/N25),0)</f>
        <v>9.9402649574066637E-2</v>
      </c>
      <c r="O27" s="10">
        <f>IFERROR((1-O26/O25),0)</f>
        <v>8.9839969959180865E-2</v>
      </c>
      <c r="P27" s="10">
        <f>IFERROR((1-P26/P25),0)</f>
        <v>8.8741943805790369E-2</v>
      </c>
      <c r="Q27" s="10">
        <f>IFERROR((1-Q26/Q25),0)</f>
        <v>7.8203515887103836E-2</v>
      </c>
    </row>
    <row r="28" spans="1:17" x14ac:dyDescent="0.3">
      <c r="E28" s="5" t="s">
        <v>3</v>
      </c>
      <c r="F28" s="8">
        <v>3246</v>
      </c>
      <c r="G28" s="8">
        <v>2835</v>
      </c>
      <c r="H28" s="8">
        <v>2918</v>
      </c>
      <c r="I28" s="8">
        <v>2899</v>
      </c>
      <c r="J28" s="8">
        <v>1626</v>
      </c>
      <c r="K28" s="8">
        <v>1887</v>
      </c>
      <c r="L28" s="8">
        <v>3031</v>
      </c>
      <c r="M28" s="62">
        <v>1997</v>
      </c>
      <c r="N28" s="62">
        <v>1435</v>
      </c>
      <c r="O28" s="62">
        <v>376</v>
      </c>
      <c r="P28" s="62">
        <v>693</v>
      </c>
      <c r="Q28" s="62">
        <v>864</v>
      </c>
    </row>
    <row r="29" spans="1:17" x14ac:dyDescent="0.3">
      <c r="E29" s="5" t="s">
        <v>2</v>
      </c>
      <c r="F29" s="24">
        <f>IFERROR(F25/F13,0)</f>
        <v>664.56667066801072</v>
      </c>
      <c r="G29" s="24">
        <f>IFERROR(G25/G13,0)</f>
        <v>660.48784521231642</v>
      </c>
      <c r="H29" s="24">
        <f>IFERROR(H25/H13,0)</f>
        <v>683.48723094117099</v>
      </c>
      <c r="I29" s="24">
        <f>IFERROR(I25/I13,0)</f>
        <v>725.38471659344646</v>
      </c>
      <c r="J29" s="24">
        <f>IFERROR(J25/J13,0)</f>
        <v>668.19720031342899</v>
      </c>
      <c r="K29" s="24">
        <f>IFERROR(K25/K13,0)</f>
        <v>671.5581068855704</v>
      </c>
      <c r="L29" s="24">
        <f>IFERROR(L25/L13,0)</f>
        <v>795.81271029386562</v>
      </c>
      <c r="M29" s="24">
        <f>IFERROR(M25/M13,0)</f>
        <v>783.61102778211512</v>
      </c>
      <c r="N29" s="24">
        <f>IFERROR(N25/N13,0)</f>
        <v>787.77290451526039</v>
      </c>
      <c r="O29" s="24">
        <f>IFERROR(O25/O13,0)</f>
        <v>794.60648786277409</v>
      </c>
      <c r="P29" s="24">
        <f>IFERROR(P25/P13,0)</f>
        <v>801.2559261043956</v>
      </c>
      <c r="Q29" s="24">
        <f>IFERROR(Q25/Q13,0)</f>
        <v>800.43141419615949</v>
      </c>
    </row>
    <row r="30" spans="1:17" x14ac:dyDescent="0.3">
      <c r="E30" s="5" t="s">
        <v>1</v>
      </c>
      <c r="F30" s="56">
        <v>1200286.8330996868</v>
      </c>
      <c r="G30" s="8">
        <v>1059007.7415770011</v>
      </c>
      <c r="H30" s="8">
        <v>1091242.6595256657</v>
      </c>
      <c r="I30" s="8">
        <v>1032842.1074200061</v>
      </c>
      <c r="J30" s="8">
        <v>833075.13238099962</v>
      </c>
      <c r="K30" s="8">
        <v>782584.10230700171</v>
      </c>
      <c r="L30" s="8">
        <v>745961.58714800072</v>
      </c>
      <c r="M30" s="8">
        <v>733919.95216600189</v>
      </c>
      <c r="N30" s="8">
        <v>658967.1026290009</v>
      </c>
      <c r="O30" s="8">
        <v>629408.02932666778</v>
      </c>
      <c r="P30" s="8">
        <v>525435.87097400066</v>
      </c>
      <c r="Q30" s="8">
        <v>546779.85323300038</v>
      </c>
    </row>
    <row r="31" spans="1:17" x14ac:dyDescent="0.3">
      <c r="E31" s="5" t="s">
        <v>0</v>
      </c>
      <c r="F31" s="8">
        <v>721759.33000000007</v>
      </c>
      <c r="G31" s="8">
        <v>721759.33000000007</v>
      </c>
      <c r="H31" s="8">
        <v>614759.93999999994</v>
      </c>
      <c r="I31" s="8">
        <v>514687.03</v>
      </c>
      <c r="J31" s="8">
        <v>496574.37</v>
      </c>
      <c r="K31" s="8">
        <v>605079.98</v>
      </c>
      <c r="L31" s="8">
        <v>546967.18999999994</v>
      </c>
      <c r="M31" s="8">
        <v>478527.34</v>
      </c>
      <c r="N31" s="8">
        <v>376181.55</v>
      </c>
      <c r="O31" s="8">
        <v>173309.88</v>
      </c>
      <c r="P31" s="8">
        <v>210750</v>
      </c>
      <c r="Q31" s="8"/>
    </row>
    <row r="32" spans="1:17" ht="1.95" customHeight="1" x14ac:dyDescent="0.3">
      <c r="A32" s="2"/>
      <c r="B32" s="2"/>
      <c r="C32" s="2"/>
      <c r="E32" s="2"/>
      <c r="F32" s="55"/>
      <c r="G32" s="55"/>
      <c r="H32" s="55"/>
      <c r="I32" s="61"/>
      <c r="J32" s="55"/>
      <c r="K32" s="60"/>
      <c r="L32" s="29"/>
      <c r="M32" s="29"/>
      <c r="N32" s="29"/>
      <c r="O32" s="29"/>
      <c r="P32" s="29"/>
      <c r="Q32" s="29"/>
    </row>
    <row r="33" spans="1:17" hidden="1" x14ac:dyDescent="0.3">
      <c r="A33" s="2"/>
      <c r="B33" s="2"/>
      <c r="C33" s="2"/>
      <c r="E33" s="2"/>
      <c r="F33" s="55" t="e">
        <v>#REF!</v>
      </c>
      <c r="G33" s="55">
        <f>F36-G39+G51</f>
        <v>10371</v>
      </c>
      <c r="H33" s="55">
        <f>G36-H39+H51</f>
        <v>10860</v>
      </c>
      <c r="I33" s="55">
        <f>H36-I39+I51</f>
        <v>11470</v>
      </c>
      <c r="J33" s="55">
        <f>I36-J39+J51</f>
        <v>12115</v>
      </c>
      <c r="K33" s="55">
        <f>J36-K39+K51</f>
        <v>11874</v>
      </c>
      <c r="L33" s="55">
        <f>K36-L39+L51</f>
        <v>11132</v>
      </c>
      <c r="M33" s="55">
        <f>L36-M39+M51</f>
        <v>11130</v>
      </c>
      <c r="N33" s="55">
        <f>M36-N39+N51</f>
        <v>10733</v>
      </c>
      <c r="O33" s="55">
        <f>N36-O39+O51</f>
        <v>10676</v>
      </c>
      <c r="P33" s="55">
        <f>O36-P39+P51</f>
        <v>10465</v>
      </c>
      <c r="Q33" s="29"/>
    </row>
    <row r="34" spans="1:17" hidden="1" x14ac:dyDescent="0.3">
      <c r="A34" s="2"/>
      <c r="B34" s="2"/>
      <c r="C34" s="2"/>
      <c r="E34" s="2"/>
      <c r="F34" s="55" t="e">
        <f>F36-F33</f>
        <v>#REF!</v>
      </c>
      <c r="G34" s="55">
        <f>G36-G33</f>
        <v>-41</v>
      </c>
      <c r="H34" s="55">
        <f>H36-H33</f>
        <v>-29</v>
      </c>
      <c r="I34" s="55">
        <f>I36-I33</f>
        <v>43</v>
      </c>
      <c r="J34" s="55">
        <f>J36-J33</f>
        <v>48</v>
      </c>
      <c r="K34" s="55">
        <f>K36-K33</f>
        <v>-5</v>
      </c>
      <c r="L34" s="55">
        <f>L36-L33</f>
        <v>-57</v>
      </c>
      <c r="M34" s="55">
        <f>M36-M33</f>
        <v>21</v>
      </c>
      <c r="N34" s="55">
        <f>N36-N33</f>
        <v>8</v>
      </c>
      <c r="O34" s="55">
        <f>O36-O33</f>
        <v>-21</v>
      </c>
      <c r="P34" s="55">
        <f>P36-P33</f>
        <v>-3</v>
      </c>
      <c r="Q34" s="29"/>
    </row>
    <row r="35" spans="1:17" x14ac:dyDescent="0.3">
      <c r="E35" s="54" t="s">
        <v>33</v>
      </c>
      <c r="F35" s="54" t="s">
        <v>32</v>
      </c>
      <c r="G35" s="54" t="s">
        <v>31</v>
      </c>
      <c r="H35" s="54" t="s">
        <v>30</v>
      </c>
      <c r="I35" s="54" t="s">
        <v>29</v>
      </c>
      <c r="J35" s="54" t="s">
        <v>28</v>
      </c>
      <c r="K35" s="54" t="s">
        <v>27</v>
      </c>
      <c r="L35" s="54" t="s">
        <v>26</v>
      </c>
      <c r="M35" s="54" t="s">
        <v>25</v>
      </c>
      <c r="N35" s="54" t="s">
        <v>24</v>
      </c>
      <c r="O35" s="54" t="s">
        <v>23</v>
      </c>
      <c r="P35" s="54" t="s">
        <v>22</v>
      </c>
      <c r="Q35" s="54" t="s">
        <v>21</v>
      </c>
    </row>
    <row r="36" spans="1:17" x14ac:dyDescent="0.3">
      <c r="E36" s="5" t="s">
        <v>19</v>
      </c>
      <c r="F36" s="8">
        <f>SUM(F37:F38)</f>
        <v>10494</v>
      </c>
      <c r="G36" s="8">
        <f>SUM(G37:G38)</f>
        <v>10330</v>
      </c>
      <c r="H36" s="8">
        <f>SUM(H37:H38)</f>
        <v>10831</v>
      </c>
      <c r="I36" s="8">
        <f>SUM(I37:I38)</f>
        <v>11513</v>
      </c>
      <c r="J36" s="8">
        <f>SUM(J37:J38)</f>
        <v>12163</v>
      </c>
      <c r="K36" s="8">
        <f>SUM(K37:K38)</f>
        <v>11869</v>
      </c>
      <c r="L36" s="8">
        <f>SUM(L37:L38)</f>
        <v>11075</v>
      </c>
      <c r="M36" s="8">
        <f>SUM(M37:M38)</f>
        <v>11151</v>
      </c>
      <c r="N36" s="8">
        <f>SUM(N37:N38)</f>
        <v>10741</v>
      </c>
      <c r="O36" s="8">
        <f>SUM(O37:O38)</f>
        <v>10655</v>
      </c>
      <c r="P36" s="8">
        <f>SUM(P37:P38)</f>
        <v>10462</v>
      </c>
      <c r="Q36" s="8">
        <f>SUM(Q37:Q38)</f>
        <v>10565</v>
      </c>
    </row>
    <row r="37" spans="1:17" x14ac:dyDescent="0.3">
      <c r="E37" s="14" t="s">
        <v>41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</row>
    <row r="38" spans="1:17" x14ac:dyDescent="0.3">
      <c r="E38" s="14" t="s">
        <v>40</v>
      </c>
      <c r="F38" s="8">
        <v>10494</v>
      </c>
      <c r="G38" s="8">
        <v>10330</v>
      </c>
      <c r="H38" s="8">
        <v>10831</v>
      </c>
      <c r="I38" s="8">
        <v>11513</v>
      </c>
      <c r="J38" s="8">
        <v>12163</v>
      </c>
      <c r="K38" s="8">
        <v>11869</v>
      </c>
      <c r="L38" s="8">
        <v>11075</v>
      </c>
      <c r="M38" s="62">
        <v>11151</v>
      </c>
      <c r="N38" s="62">
        <v>10741</v>
      </c>
      <c r="O38" s="62">
        <v>10655</v>
      </c>
      <c r="P38" s="62">
        <v>10462</v>
      </c>
      <c r="Q38" s="62">
        <v>10565</v>
      </c>
    </row>
    <row r="39" spans="1:17" x14ac:dyDescent="0.3">
      <c r="E39" s="5" t="s">
        <v>39</v>
      </c>
      <c r="F39" s="8">
        <f>SUM(F42:F47)</f>
        <v>597</v>
      </c>
      <c r="G39" s="8">
        <f>SUM(G42:G47)</f>
        <v>652</v>
      </c>
      <c r="H39" s="8">
        <f>SUM(H42:H47)</f>
        <v>574</v>
      </c>
      <c r="I39" s="8">
        <f>SUM(I42:I47)</f>
        <v>569</v>
      </c>
      <c r="J39" s="8">
        <f>SUM(J42:J47)</f>
        <v>593</v>
      </c>
      <c r="K39" s="8">
        <f>SUM(K42:K47)</f>
        <v>761</v>
      </c>
      <c r="L39" s="8">
        <f>SUM(L42:L47)</f>
        <v>1170</v>
      </c>
      <c r="M39" s="8">
        <f>SUM(M42:M47)</f>
        <v>1027</v>
      </c>
      <c r="N39" s="8">
        <f>SUM(N42:N47)</f>
        <v>940</v>
      </c>
      <c r="O39" s="8">
        <f>SUM(O42:O47)</f>
        <v>713</v>
      </c>
      <c r="P39" s="8">
        <f>SUM(P42:P47)</f>
        <v>687</v>
      </c>
      <c r="Q39" s="8">
        <f>SUM(Q42:Q47)</f>
        <v>617</v>
      </c>
    </row>
    <row r="40" spans="1:17" x14ac:dyDescent="0.3">
      <c r="E40" s="5" t="s">
        <v>15</v>
      </c>
      <c r="F40" s="8">
        <v>41</v>
      </c>
      <c r="G40" s="8">
        <v>41</v>
      </c>
      <c r="H40" s="8">
        <v>21</v>
      </c>
      <c r="I40" s="8">
        <v>28</v>
      </c>
      <c r="J40" s="8">
        <v>34</v>
      </c>
      <c r="K40" s="8">
        <v>64</v>
      </c>
      <c r="L40" s="8">
        <v>110</v>
      </c>
      <c r="M40" s="8">
        <v>100</v>
      </c>
      <c r="N40" s="8">
        <v>103</v>
      </c>
      <c r="O40" s="8">
        <v>41</v>
      </c>
      <c r="P40" s="8">
        <v>164</v>
      </c>
      <c r="Q40" s="8">
        <v>420</v>
      </c>
    </row>
    <row r="41" spans="1:17" x14ac:dyDescent="0.3">
      <c r="E41" s="5" t="s">
        <v>14</v>
      </c>
      <c r="F41" s="10">
        <v>5.6695156695156693E-2</v>
      </c>
      <c r="G41" s="10">
        <f>IFERROR((G39/F36),0)</f>
        <v>6.2130741376024395E-2</v>
      </c>
      <c r="H41" s="10">
        <f>IFERROR((H39/G36),0)</f>
        <v>5.5566311713455954E-2</v>
      </c>
      <c r="I41" s="10">
        <f>IFERROR((I39/H36),0)</f>
        <v>5.2534392022897239E-2</v>
      </c>
      <c r="J41" s="10">
        <f>IFERROR((J39/I36),0)</f>
        <v>5.1506992095891602E-2</v>
      </c>
      <c r="K41" s="10">
        <f>IFERROR((K39/J36),0)</f>
        <v>6.2566800953712073E-2</v>
      </c>
      <c r="L41" s="10">
        <f>IFERROR((L39/K36),0)</f>
        <v>9.8576122672508218E-2</v>
      </c>
      <c r="M41" s="10">
        <f>IFERROR((M39/L36),0)</f>
        <v>9.2731376975169297E-2</v>
      </c>
      <c r="N41" s="10">
        <f>IFERROR((N39/M36),0)</f>
        <v>8.4297372432965659E-2</v>
      </c>
      <c r="O41" s="10">
        <f>IFERROR((O39/N36),0)</f>
        <v>6.638115631691649E-2</v>
      </c>
      <c r="P41" s="10">
        <f>IFERROR((P39/O36),0)</f>
        <v>6.4476771468793992E-2</v>
      </c>
      <c r="Q41" s="10">
        <f>IFERROR((Q39/P36),0)</f>
        <v>5.8975339323265152E-2</v>
      </c>
    </row>
    <row r="42" spans="1:17" x14ac:dyDescent="0.3">
      <c r="E42" s="5" t="s">
        <v>13</v>
      </c>
      <c r="F42" s="8">
        <v>360</v>
      </c>
      <c r="G42" s="8">
        <v>370</v>
      </c>
      <c r="H42" s="8">
        <v>329</v>
      </c>
      <c r="I42" s="8">
        <v>374</v>
      </c>
      <c r="J42" s="8">
        <v>382</v>
      </c>
      <c r="K42" s="8">
        <v>477</v>
      </c>
      <c r="L42" s="8">
        <v>527</v>
      </c>
      <c r="M42" s="66">
        <v>422</v>
      </c>
      <c r="N42" s="66">
        <v>602</v>
      </c>
      <c r="O42" s="66">
        <v>395</v>
      </c>
      <c r="P42" s="66">
        <v>377</v>
      </c>
      <c r="Q42" s="66">
        <v>299</v>
      </c>
    </row>
    <row r="43" spans="1:17" x14ac:dyDescent="0.3">
      <c r="E43" s="5" t="s">
        <v>12</v>
      </c>
      <c r="F43" s="8">
        <v>170</v>
      </c>
      <c r="G43" s="8">
        <v>144</v>
      </c>
      <c r="H43" s="8">
        <v>120</v>
      </c>
      <c r="I43" s="8">
        <v>126</v>
      </c>
      <c r="J43" s="8">
        <v>133</v>
      </c>
      <c r="K43" s="8">
        <v>200</v>
      </c>
      <c r="L43" s="8">
        <v>343</v>
      </c>
      <c r="M43" s="66">
        <v>382</v>
      </c>
      <c r="N43" s="66">
        <v>208</v>
      </c>
      <c r="O43" s="66">
        <v>209</v>
      </c>
      <c r="P43" s="66">
        <v>198</v>
      </c>
      <c r="Q43" s="66">
        <v>250</v>
      </c>
    </row>
    <row r="44" spans="1:17" x14ac:dyDescent="0.3">
      <c r="E44" s="5" t="s">
        <v>11</v>
      </c>
      <c r="F44" s="8">
        <v>49</v>
      </c>
      <c r="G44" s="8">
        <v>48</v>
      </c>
      <c r="H44" s="8">
        <v>52</v>
      </c>
      <c r="I44" s="8">
        <v>63</v>
      </c>
      <c r="J44" s="8">
        <v>66</v>
      </c>
      <c r="K44" s="8">
        <v>75</v>
      </c>
      <c r="L44" s="8">
        <v>297</v>
      </c>
      <c r="M44" s="66">
        <v>217</v>
      </c>
      <c r="N44" s="66">
        <v>108</v>
      </c>
      <c r="O44" s="66">
        <v>89</v>
      </c>
      <c r="P44" s="66">
        <v>95</v>
      </c>
      <c r="Q44" s="66">
        <v>54</v>
      </c>
    </row>
    <row r="45" spans="1:17" hidden="1" x14ac:dyDescent="0.3">
      <c r="E45" s="5" t="s">
        <v>48</v>
      </c>
      <c r="F45" s="42">
        <v>8</v>
      </c>
      <c r="G45" s="8">
        <v>84</v>
      </c>
      <c r="H45" s="8">
        <v>70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66">
        <v>0</v>
      </c>
      <c r="P45" s="8">
        <v>0</v>
      </c>
      <c r="Q45" s="66">
        <v>0</v>
      </c>
    </row>
    <row r="46" spans="1:17" x14ac:dyDescent="0.3">
      <c r="E46" s="5" t="s">
        <v>47</v>
      </c>
      <c r="F46" s="42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66">
        <v>1</v>
      </c>
      <c r="O46" s="66">
        <v>0</v>
      </c>
      <c r="P46" s="66">
        <v>2</v>
      </c>
      <c r="Q46" s="66">
        <v>2</v>
      </c>
    </row>
    <row r="47" spans="1:17" x14ac:dyDescent="0.3">
      <c r="E47" s="5" t="s">
        <v>46</v>
      </c>
      <c r="F47" s="66">
        <v>10</v>
      </c>
      <c r="G47" s="66">
        <v>6</v>
      </c>
      <c r="H47" s="66">
        <v>3</v>
      </c>
      <c r="I47" s="66">
        <v>6</v>
      </c>
      <c r="J47" s="66">
        <v>12</v>
      </c>
      <c r="K47" s="66">
        <v>9</v>
      </c>
      <c r="L47" s="66">
        <v>3</v>
      </c>
      <c r="M47" s="66">
        <v>6</v>
      </c>
      <c r="N47" s="66">
        <v>21</v>
      </c>
      <c r="O47" s="66">
        <v>20</v>
      </c>
      <c r="P47" s="66">
        <v>15</v>
      </c>
      <c r="Q47" s="66">
        <v>12</v>
      </c>
    </row>
    <row r="48" spans="1:17" x14ac:dyDescent="0.3">
      <c r="E48" s="5" t="s">
        <v>6</v>
      </c>
      <c r="F48" s="23">
        <v>3679322.3900000276</v>
      </c>
      <c r="G48" s="69">
        <v>3618246.5799999931</v>
      </c>
      <c r="H48" s="23">
        <v>3761768.6000000322</v>
      </c>
      <c r="I48" s="8">
        <v>3912829.650000026</v>
      </c>
      <c r="J48" s="8">
        <v>4106854.4100000411</v>
      </c>
      <c r="K48" s="8">
        <v>4053916.5400000392</v>
      </c>
      <c r="L48" s="8">
        <v>4551738.0900000082</v>
      </c>
      <c r="M48" s="63">
        <v>4539856.4600000074</v>
      </c>
      <c r="N48" s="63">
        <v>4346921.6999999918</v>
      </c>
      <c r="O48" s="8">
        <v>4252808.7400000188</v>
      </c>
      <c r="P48" s="8">
        <v>4139480.9800000144</v>
      </c>
      <c r="Q48" s="8">
        <v>4094728.050000011</v>
      </c>
    </row>
    <row r="49" spans="1:17" x14ac:dyDescent="0.3">
      <c r="E49" s="5" t="s">
        <v>5</v>
      </c>
      <c r="F49" s="23">
        <v>3072084.0200000289</v>
      </c>
      <c r="G49" s="23">
        <v>3061997.3900000169</v>
      </c>
      <c r="H49" s="23">
        <v>3306359.2600000319</v>
      </c>
      <c r="I49" s="8">
        <v>3238558.540000027</v>
      </c>
      <c r="J49" s="8">
        <v>3486976.3200000431</v>
      </c>
      <c r="K49" s="8">
        <v>3542887.6900000391</v>
      </c>
      <c r="L49" s="8">
        <v>3755938.0900000068</v>
      </c>
      <c r="M49" s="63">
        <v>3952686.0100000096</v>
      </c>
      <c r="N49" s="63">
        <v>3700457.4899999942</v>
      </c>
      <c r="O49" s="8">
        <v>3679727.3100000224</v>
      </c>
      <c r="P49" s="8">
        <v>3572907.8900000164</v>
      </c>
      <c r="Q49" s="8">
        <v>3596745.1200000141</v>
      </c>
    </row>
    <row r="50" spans="1:17" x14ac:dyDescent="0.3">
      <c r="E50" s="5" t="s">
        <v>4</v>
      </c>
      <c r="F50" s="10">
        <f>IFERROR((1-F49/F48),0)</f>
        <v>0.16504081611614196</v>
      </c>
      <c r="G50" s="10">
        <f>IFERROR((1-G49/G48),0)</f>
        <v>0.15373446162422055</v>
      </c>
      <c r="H50" s="10">
        <f>IFERROR((1-H49/H48),0)</f>
        <v>0.12106256083906819</v>
      </c>
      <c r="I50" s="10">
        <f>IFERROR((1-I49/I48),0)</f>
        <v>0.17232314470935228</v>
      </c>
      <c r="J50" s="10">
        <f>IFERROR((1-J49/J48),0)</f>
        <v>0.1509374397326132</v>
      </c>
      <c r="K50" s="10">
        <f>IFERROR((1-K49/K48),0)</f>
        <v>0.12605805890616462</v>
      </c>
      <c r="L50" s="10">
        <f>IFERROR((1-L49/L48),0)</f>
        <v>0.17483431257794535</v>
      </c>
      <c r="M50" s="10">
        <f>IFERROR((1-M49/M48),0)</f>
        <v>0.12933678744547727</v>
      </c>
      <c r="N50" s="10">
        <f>IFERROR((1-N49/N48),0)</f>
        <v>0.14871770292066655</v>
      </c>
      <c r="O50" s="10">
        <f>IFERROR((1-O49/O48),0)</f>
        <v>0.13475363343050173</v>
      </c>
      <c r="P50" s="10">
        <f>IFERROR((1-P49/P48),0)</f>
        <v>0.13687056245394225</v>
      </c>
      <c r="Q50" s="10">
        <f>IFERROR((1-Q49/Q48),0)</f>
        <v>0.12161562963869987</v>
      </c>
    </row>
    <row r="51" spans="1:17" x14ac:dyDescent="0.3">
      <c r="E51" s="5" t="s">
        <v>3</v>
      </c>
      <c r="F51" s="8">
        <v>305</v>
      </c>
      <c r="G51" s="8">
        <v>529</v>
      </c>
      <c r="H51" s="8">
        <v>1104</v>
      </c>
      <c r="I51" s="8">
        <v>1208</v>
      </c>
      <c r="J51" s="8">
        <v>1195</v>
      </c>
      <c r="K51" s="8">
        <v>472</v>
      </c>
      <c r="L51" s="8">
        <v>433</v>
      </c>
      <c r="M51" s="62">
        <v>1082</v>
      </c>
      <c r="N51" s="62">
        <v>522</v>
      </c>
      <c r="O51" s="62">
        <v>648</v>
      </c>
      <c r="P51" s="62">
        <v>497</v>
      </c>
      <c r="Q51" s="62">
        <v>709</v>
      </c>
    </row>
    <row r="52" spans="1:17" x14ac:dyDescent="0.3">
      <c r="E52" s="5" t="s">
        <v>2</v>
      </c>
      <c r="F52" s="24">
        <f>F48/F36</f>
        <v>350.61200590814059</v>
      </c>
      <c r="G52" s="24">
        <f>G48/G36</f>
        <v>350.265883833494</v>
      </c>
      <c r="H52" s="24">
        <f>H48/H36</f>
        <v>347.31498476595254</v>
      </c>
      <c r="I52" s="24">
        <f>IFERROR(I48/I36,0)</f>
        <v>339.86186484843444</v>
      </c>
      <c r="J52" s="24">
        <f>IFERROR(J48/J36,0)</f>
        <v>337.65143550111333</v>
      </c>
      <c r="K52" s="24">
        <f>IFERROR(K48/K36,0)</f>
        <v>341.55502064201187</v>
      </c>
      <c r="L52" s="24">
        <f>IFERROR(L48/L36,0)</f>
        <v>410.99215259593751</v>
      </c>
      <c r="M52" s="24">
        <f>IFERROR(M48/M36,0)</f>
        <v>407.12550085194221</v>
      </c>
      <c r="N52" s="24">
        <f>IFERROR(N48/N36,0)</f>
        <v>404.70363094683847</v>
      </c>
      <c r="O52" s="24">
        <f>IFERROR(O48/O36,0)</f>
        <v>399.13737587987038</v>
      </c>
      <c r="P52" s="24">
        <f>IFERROR(P48/P36,0)</f>
        <v>395.66822596062076</v>
      </c>
      <c r="Q52" s="24">
        <f>IFERROR(Q48/Q36,0)</f>
        <v>387.57482725982118</v>
      </c>
    </row>
    <row r="53" spans="1:17" x14ac:dyDescent="0.3">
      <c r="E53" s="5" t="s">
        <v>1</v>
      </c>
      <c r="F53" s="56">
        <v>162412.12779999993</v>
      </c>
      <c r="G53" s="8">
        <v>116860.2947999998</v>
      </c>
      <c r="H53" s="8">
        <v>142421.07329999996</v>
      </c>
      <c r="I53" s="8">
        <v>226367.36120000042</v>
      </c>
      <c r="J53" s="8">
        <v>206190.34680000009</v>
      </c>
      <c r="K53" s="8">
        <v>253056.18940000006</v>
      </c>
      <c r="L53" s="8">
        <v>158342.60530000008</v>
      </c>
      <c r="M53" s="8">
        <v>162827.56900000031</v>
      </c>
      <c r="N53" s="8">
        <v>251914.23649999994</v>
      </c>
      <c r="O53" s="8">
        <v>172293.47150000019</v>
      </c>
      <c r="P53" s="8">
        <v>192019.46750000041</v>
      </c>
      <c r="Q53" s="8">
        <v>172868.84050000028</v>
      </c>
    </row>
    <row r="54" spans="1:17" x14ac:dyDescent="0.3">
      <c r="E54" s="5" t="s">
        <v>0</v>
      </c>
      <c r="F54" s="8">
        <v>107421.4</v>
      </c>
      <c r="G54" s="8">
        <v>154060.02999999997</v>
      </c>
      <c r="H54" s="8">
        <v>543890</v>
      </c>
      <c r="I54" s="8">
        <v>479490</v>
      </c>
      <c r="J54" s="8">
        <v>555480</v>
      </c>
      <c r="K54" s="8">
        <v>444350</v>
      </c>
      <c r="L54" s="8">
        <v>135890</v>
      </c>
      <c r="M54" s="8">
        <v>433330</v>
      </c>
      <c r="N54" s="8">
        <v>160460</v>
      </c>
      <c r="O54" s="8">
        <v>117550</v>
      </c>
      <c r="P54" s="8">
        <v>182540</v>
      </c>
      <c r="Q54" s="8">
        <v>0</v>
      </c>
    </row>
    <row r="55" spans="1:17" ht="3" customHeight="1" x14ac:dyDescent="0.3">
      <c r="A55" s="2"/>
      <c r="B55" s="2"/>
      <c r="C55" s="2"/>
      <c r="E55" s="2"/>
      <c r="F55" s="55"/>
      <c r="G55" s="55"/>
      <c r="H55" s="55"/>
      <c r="I55" s="61"/>
      <c r="J55" s="55"/>
      <c r="K55" s="60"/>
      <c r="L55" s="29"/>
      <c r="M55" s="29"/>
      <c r="N55" s="29"/>
      <c r="O55" s="29"/>
      <c r="P55" s="29"/>
      <c r="Q55" s="29"/>
    </row>
    <row r="56" spans="1:17" hidden="1" x14ac:dyDescent="0.3">
      <c r="A56" s="2"/>
      <c r="B56" s="2"/>
      <c r="C56" s="2"/>
      <c r="E56" s="2"/>
      <c r="F56" s="55" t="e">
        <v>#REF!</v>
      </c>
      <c r="G56" s="55">
        <f>F59-G62+G74</f>
        <v>35</v>
      </c>
      <c r="H56" s="55">
        <f>G59-H62+H74</f>
        <v>34</v>
      </c>
      <c r="I56" s="55">
        <f>H59-I62+I74</f>
        <v>34</v>
      </c>
      <c r="J56" s="55">
        <f>I59-J62+J74</f>
        <v>35</v>
      </c>
      <c r="K56" s="55">
        <f>J59-K62+K74</f>
        <v>36</v>
      </c>
      <c r="L56" s="55">
        <f>K59-L62+L74</f>
        <v>33</v>
      </c>
      <c r="M56" s="55">
        <f>L59-M62+M74</f>
        <v>33</v>
      </c>
      <c r="N56" s="55">
        <f>M59-N62+N74</f>
        <v>25</v>
      </c>
      <c r="O56" s="55">
        <f>N59-O62+O74</f>
        <v>24</v>
      </c>
      <c r="P56" s="55">
        <f>O59-P62+P74</f>
        <v>22</v>
      </c>
      <c r="Q56" s="29"/>
    </row>
    <row r="57" spans="1:17" hidden="1" x14ac:dyDescent="0.3">
      <c r="A57" s="2"/>
      <c r="B57" s="2"/>
      <c r="C57" s="2"/>
      <c r="E57" s="2"/>
      <c r="F57" s="55" t="e">
        <f>F59-F56</f>
        <v>#REF!</v>
      </c>
      <c r="G57" s="55">
        <f>G59-G56</f>
        <v>1</v>
      </c>
      <c r="H57" s="55">
        <f>H59-H56</f>
        <v>1</v>
      </c>
      <c r="I57" s="55">
        <f>I59-I56</f>
        <v>1</v>
      </c>
      <c r="J57" s="55">
        <f>J59-J56</f>
        <v>1</v>
      </c>
      <c r="K57" s="55">
        <f>K59-K56</f>
        <v>-2</v>
      </c>
      <c r="L57" s="55">
        <f>L59-L56</f>
        <v>0</v>
      </c>
      <c r="M57" s="55">
        <f>M59-M56</f>
        <v>0</v>
      </c>
      <c r="N57" s="55">
        <f>N59-N56</f>
        <v>0</v>
      </c>
      <c r="O57" s="55">
        <f>O59-O56</f>
        <v>0</v>
      </c>
      <c r="P57" s="55">
        <f>P59-P56</f>
        <v>0</v>
      </c>
      <c r="Q57" s="29"/>
    </row>
    <row r="58" spans="1:17" x14ac:dyDescent="0.3">
      <c r="E58" s="54" t="s">
        <v>33</v>
      </c>
      <c r="F58" s="54" t="s">
        <v>32</v>
      </c>
      <c r="G58" s="54" t="s">
        <v>31</v>
      </c>
      <c r="H58" s="54" t="s">
        <v>30</v>
      </c>
      <c r="I58" s="54" t="s">
        <v>29</v>
      </c>
      <c r="J58" s="54" t="s">
        <v>28</v>
      </c>
      <c r="K58" s="54" t="s">
        <v>27</v>
      </c>
      <c r="L58" s="54" t="s">
        <v>26</v>
      </c>
      <c r="M58" s="54" t="s">
        <v>25</v>
      </c>
      <c r="N58" s="54" t="s">
        <v>24</v>
      </c>
      <c r="O58" s="54" t="s">
        <v>23</v>
      </c>
      <c r="P58" s="54" t="s">
        <v>22</v>
      </c>
      <c r="Q58" s="54" t="s">
        <v>21</v>
      </c>
    </row>
    <row r="59" spans="1:17" x14ac:dyDescent="0.3">
      <c r="E59" s="5" t="s">
        <v>19</v>
      </c>
      <c r="F59" s="8">
        <f>SUM(F60:F61)</f>
        <v>35</v>
      </c>
      <c r="G59" s="8">
        <f>SUM(G60:G61)</f>
        <v>36</v>
      </c>
      <c r="H59" s="8">
        <f>SUM(H60:H61)</f>
        <v>35</v>
      </c>
      <c r="I59" s="8">
        <f>SUM(I60:I61)</f>
        <v>35</v>
      </c>
      <c r="J59" s="8">
        <f>SUM(J60:J61)</f>
        <v>36</v>
      </c>
      <c r="K59" s="8">
        <f>SUM(K60:K61)</f>
        <v>34</v>
      </c>
      <c r="L59" s="8">
        <f>SUM(L60:L61)</f>
        <v>33</v>
      </c>
      <c r="M59" s="8">
        <f>SUM(M60:M61)</f>
        <v>33</v>
      </c>
      <c r="N59" s="8">
        <f>SUM(N60:N61)</f>
        <v>25</v>
      </c>
      <c r="O59" s="8">
        <f>SUM(O60:O61)</f>
        <v>24</v>
      </c>
      <c r="P59" s="13">
        <f>SUM(P60:P61)</f>
        <v>22</v>
      </c>
      <c r="Q59" s="13">
        <f>SUM(Q60:Q61)</f>
        <v>22</v>
      </c>
    </row>
    <row r="60" spans="1:17" x14ac:dyDescent="0.3">
      <c r="E60" s="14" t="s">
        <v>41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13"/>
      <c r="Q60" s="8"/>
    </row>
    <row r="61" spans="1:17" x14ac:dyDescent="0.3">
      <c r="E61" s="14" t="s">
        <v>40</v>
      </c>
      <c r="F61" s="8">
        <v>35</v>
      </c>
      <c r="G61" s="8">
        <v>36</v>
      </c>
      <c r="H61" s="8">
        <v>35</v>
      </c>
      <c r="I61" s="8">
        <v>35</v>
      </c>
      <c r="J61" s="8">
        <v>36</v>
      </c>
      <c r="K61" s="8">
        <v>34</v>
      </c>
      <c r="L61" s="8">
        <v>33</v>
      </c>
      <c r="M61" s="62">
        <v>33</v>
      </c>
      <c r="N61" s="62">
        <v>25</v>
      </c>
      <c r="O61" s="62">
        <v>24</v>
      </c>
      <c r="P61" s="62">
        <v>22</v>
      </c>
      <c r="Q61" s="62">
        <v>22</v>
      </c>
    </row>
    <row r="62" spans="1:17" x14ac:dyDescent="0.3">
      <c r="E62" s="5" t="s">
        <v>39</v>
      </c>
      <c r="F62" s="8">
        <f>SUM(F65:F70)</f>
        <v>3</v>
      </c>
      <c r="G62" s="8">
        <f>SUM(G65:G70)</f>
        <v>0</v>
      </c>
      <c r="H62" s="8">
        <f>SUM(H65:H70)</f>
        <v>2</v>
      </c>
      <c r="I62" s="8">
        <f>SUM(I65:I70)</f>
        <v>1</v>
      </c>
      <c r="J62" s="8">
        <f>SUM(J65:J70)</f>
        <v>0</v>
      </c>
      <c r="K62" s="8">
        <f>SUM(K65:K70)</f>
        <v>0</v>
      </c>
      <c r="L62" s="8">
        <f>SUM(L65:L70)</f>
        <v>1</v>
      </c>
      <c r="M62" s="8">
        <v>0</v>
      </c>
      <c r="N62" s="8">
        <f>SUM(N65:N70)</f>
        <v>8</v>
      </c>
      <c r="O62" s="8">
        <f>SUM(O65:O70)</f>
        <v>1</v>
      </c>
      <c r="P62" s="8">
        <f>SUM(P65:P70)</f>
        <v>2</v>
      </c>
      <c r="Q62" s="8">
        <f>SUM(Q65,Q66,Q67,Q69,Q70)</f>
        <v>0</v>
      </c>
    </row>
    <row r="63" spans="1:17" x14ac:dyDescent="0.3">
      <c r="E63" s="5" t="s">
        <v>15</v>
      </c>
      <c r="F63" s="8">
        <v>0</v>
      </c>
      <c r="G63" s="8">
        <v>0</v>
      </c>
      <c r="H63" s="8"/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/>
      <c r="Q63" s="8"/>
    </row>
    <row r="64" spans="1:17" x14ac:dyDescent="0.3">
      <c r="E64" s="5" t="s">
        <v>14</v>
      </c>
      <c r="F64" s="10">
        <v>7.4999999999999997E-2</v>
      </c>
      <c r="G64" s="10">
        <f>IFERROR((G62/F59),0)</f>
        <v>0</v>
      </c>
      <c r="H64" s="36">
        <f>IFERROR((H62/G59),0)</f>
        <v>5.5555555555555552E-2</v>
      </c>
      <c r="I64" s="10">
        <f>IFERROR((I62/H59),0)</f>
        <v>2.8571428571428571E-2</v>
      </c>
      <c r="J64" s="10">
        <f>IFERROR((J62/I59),0)</f>
        <v>0</v>
      </c>
      <c r="K64" s="10">
        <f>IFERROR((K62/J59),0)</f>
        <v>0</v>
      </c>
      <c r="L64" s="10">
        <f>IFERROR((L62/K59),0)</f>
        <v>2.9411764705882353E-2</v>
      </c>
      <c r="M64" s="10">
        <f>IFERROR((M62/L59),0)</f>
        <v>0</v>
      </c>
      <c r="N64" s="10">
        <f>IFERROR((N62/M59),0)</f>
        <v>0.24242424242424243</v>
      </c>
      <c r="O64" s="10">
        <f>IFERROR((O62/N59),0)</f>
        <v>0.04</v>
      </c>
      <c r="P64" s="10">
        <f>IFERROR((P62/O59),0)</f>
        <v>8.3333333333333329E-2</v>
      </c>
      <c r="Q64" s="10">
        <f>IFERROR((Q62/P59),0)</f>
        <v>0</v>
      </c>
    </row>
    <row r="65" spans="1:17" x14ac:dyDescent="0.3">
      <c r="E65" s="5" t="s">
        <v>13</v>
      </c>
      <c r="F65" s="8">
        <v>0</v>
      </c>
      <c r="G65" s="8">
        <v>0</v>
      </c>
      <c r="H65" s="8">
        <v>1</v>
      </c>
      <c r="I65" s="8">
        <v>1</v>
      </c>
      <c r="J65" s="8">
        <v>0</v>
      </c>
      <c r="K65" s="8">
        <v>0</v>
      </c>
      <c r="L65" s="8">
        <v>0</v>
      </c>
      <c r="M65" s="8">
        <v>0</v>
      </c>
      <c r="N65" s="8">
        <v>8</v>
      </c>
      <c r="O65" s="8">
        <v>1</v>
      </c>
      <c r="P65" s="8">
        <v>2</v>
      </c>
      <c r="Q65" s="66">
        <v>0</v>
      </c>
    </row>
    <row r="66" spans="1:17" x14ac:dyDescent="0.3">
      <c r="E66" s="5" t="s">
        <v>12</v>
      </c>
      <c r="F66" s="8">
        <v>2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23"/>
      <c r="Q66" s="66">
        <v>0</v>
      </c>
    </row>
    <row r="67" spans="1:17" x14ac:dyDescent="0.3">
      <c r="E67" s="5" t="s">
        <v>11</v>
      </c>
      <c r="F67" s="8">
        <v>0</v>
      </c>
      <c r="G67" s="8">
        <v>0</v>
      </c>
      <c r="H67" s="42">
        <v>1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23"/>
      <c r="Q67" s="66">
        <v>0</v>
      </c>
    </row>
    <row r="68" spans="1:17" hidden="1" x14ac:dyDescent="0.3">
      <c r="E68" s="5" t="s">
        <v>48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23"/>
      <c r="Q68" s="66"/>
    </row>
    <row r="69" spans="1:17" x14ac:dyDescent="0.3">
      <c r="E69" s="5" t="s">
        <v>47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23"/>
      <c r="Q69" s="66">
        <v>0</v>
      </c>
    </row>
    <row r="70" spans="1:17" x14ac:dyDescent="0.3">
      <c r="E70" s="5" t="s">
        <v>46</v>
      </c>
      <c r="F70" s="8">
        <v>1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1</v>
      </c>
      <c r="M70" s="8">
        <v>0</v>
      </c>
      <c r="N70" s="8">
        <v>0</v>
      </c>
      <c r="O70" s="8">
        <v>0</v>
      </c>
      <c r="P70" s="23"/>
      <c r="Q70" s="66">
        <v>0</v>
      </c>
    </row>
    <row r="71" spans="1:17" x14ac:dyDescent="0.3">
      <c r="E71" s="5" t="s">
        <v>6</v>
      </c>
      <c r="F71" s="23">
        <v>23167.96</v>
      </c>
      <c r="G71" s="23">
        <v>23424.560000000001</v>
      </c>
      <c r="H71" s="23">
        <v>23424.559999999998</v>
      </c>
      <c r="I71" s="23">
        <v>22195.460000000003</v>
      </c>
      <c r="J71" s="23">
        <v>22888.530000000002</v>
      </c>
      <c r="K71" s="23">
        <v>21448.1</v>
      </c>
      <c r="L71" s="23">
        <v>21727.09</v>
      </c>
      <c r="M71" s="63">
        <v>25350.260000000002</v>
      </c>
      <c r="N71" s="63">
        <v>23581.49</v>
      </c>
      <c r="O71" s="23">
        <v>19517.439999999999</v>
      </c>
      <c r="P71" s="23">
        <v>24995.090000000004</v>
      </c>
      <c r="Q71" s="23">
        <v>20114.919999999998</v>
      </c>
    </row>
    <row r="72" spans="1:17" x14ac:dyDescent="0.3">
      <c r="E72" s="5" t="s">
        <v>5</v>
      </c>
      <c r="F72" s="68">
        <v>14608.52</v>
      </c>
      <c r="G72" s="23">
        <v>15957.619999999999</v>
      </c>
      <c r="H72" s="23">
        <v>13487.009999999998</v>
      </c>
      <c r="I72" s="23">
        <v>13628.720000000001</v>
      </c>
      <c r="J72" s="23">
        <v>12565.960000000003</v>
      </c>
      <c r="K72" s="23">
        <v>11029.529999999999</v>
      </c>
      <c r="L72" s="23">
        <v>12884.83</v>
      </c>
      <c r="M72" s="63">
        <v>14707.910000000002</v>
      </c>
      <c r="N72" s="63">
        <v>16413.54</v>
      </c>
      <c r="O72" s="23">
        <v>14694.32</v>
      </c>
      <c r="P72" s="23">
        <v>16947.430000000004</v>
      </c>
      <c r="Q72" s="23">
        <v>13051.06</v>
      </c>
    </row>
    <row r="73" spans="1:17" x14ac:dyDescent="0.3">
      <c r="E73" s="5" t="s">
        <v>4</v>
      </c>
      <c r="F73" s="10">
        <f>IFERROR((1-F72/F71),0)</f>
        <v>0.36945160471616834</v>
      </c>
      <c r="G73" s="10">
        <f>IFERROR((1-G72/G71),0)</f>
        <v>0.31876543252039746</v>
      </c>
      <c r="H73" s="10">
        <f>IFERROR((1-H72/H71),0)</f>
        <v>0.4242363570543054</v>
      </c>
      <c r="I73" s="10">
        <f>IFERROR((1-I72/I71),0)</f>
        <v>0.38596812140861236</v>
      </c>
      <c r="J73" s="10">
        <f>IFERROR((1-J72/J71),0)</f>
        <v>0.4509931393584472</v>
      </c>
      <c r="K73" s="10">
        <f>IFERROR((1-K72/K71),0)</f>
        <v>0.48575724656263264</v>
      </c>
      <c r="L73" s="10">
        <f>IFERROR((1-L72/L71),0)</f>
        <v>0.40696936405197381</v>
      </c>
      <c r="M73" s="10">
        <f>IFERROR((1-M72/M71),0)</f>
        <v>0.41981226228054469</v>
      </c>
      <c r="N73" s="10">
        <f>IFERROR((1-N72/N71),0)</f>
        <v>0.30396510144185118</v>
      </c>
      <c r="O73" s="10">
        <f>IFERROR((1-O72/O71),0)</f>
        <v>0.24711847455403979</v>
      </c>
      <c r="P73" s="10">
        <f>IFERROR((1-P72/P71),0)</f>
        <v>0.32196963483628183</v>
      </c>
      <c r="Q73" s="10">
        <f>IFERROR((1-Q72/Q71),0)</f>
        <v>0.35117514760187962</v>
      </c>
    </row>
    <row r="74" spans="1:17" x14ac:dyDescent="0.3">
      <c r="E74" s="5" t="s">
        <v>3</v>
      </c>
      <c r="F74" s="67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66">
        <v>0</v>
      </c>
    </row>
    <row r="75" spans="1:17" x14ac:dyDescent="0.3">
      <c r="E75" s="5" t="s">
        <v>2</v>
      </c>
      <c r="F75" s="24">
        <f>F71/F59</f>
        <v>661.94171428571428</v>
      </c>
      <c r="G75" s="24">
        <f>G71/G59</f>
        <v>650.68222222222221</v>
      </c>
      <c r="H75" s="24">
        <f>H71/H59</f>
        <v>669.27314285714283</v>
      </c>
      <c r="I75" s="24">
        <f>IFERROR(I71/I59,0)</f>
        <v>634.15600000000006</v>
      </c>
      <c r="J75" s="24">
        <f>IFERROR(J71/J59,0)</f>
        <v>635.79250000000002</v>
      </c>
      <c r="K75" s="24">
        <f>IFERROR(K71/K59,0)</f>
        <v>630.82647058823522</v>
      </c>
      <c r="L75" s="24">
        <f>IFERROR(L71/L59,0)</f>
        <v>658.39666666666665</v>
      </c>
      <c r="M75" s="24">
        <f>IFERROR(M71/M59,0)</f>
        <v>768.18969696969702</v>
      </c>
      <c r="N75" s="24">
        <f>IFERROR(N71/N59,0)</f>
        <v>943.25960000000009</v>
      </c>
      <c r="O75" s="24">
        <f>IFERROR(O71/O59,0)</f>
        <v>813.22666666666657</v>
      </c>
      <c r="P75" s="24">
        <f>IFERROR(P71/P59,0)</f>
        <v>1136.1404545454548</v>
      </c>
      <c r="Q75" s="24">
        <f>IFERROR(Q71/Q59,0)</f>
        <v>914.3145454545454</v>
      </c>
    </row>
    <row r="76" spans="1:17" x14ac:dyDescent="0.3">
      <c r="E76" s="5" t="s">
        <v>1</v>
      </c>
      <c r="F76" s="56">
        <v>89.025599999999997</v>
      </c>
      <c r="G76" s="56">
        <v>86.397899999999993</v>
      </c>
      <c r="H76" s="56">
        <v>43.242899999999999</v>
      </c>
      <c r="I76" s="56">
        <v>55.30230000000001</v>
      </c>
      <c r="J76" s="56">
        <v>49.754100000000001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</row>
    <row r="77" spans="1:17" ht="15" customHeight="1" x14ac:dyDescent="0.3">
      <c r="E77" s="5" t="s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</row>
    <row r="78" spans="1:17" ht="3" customHeight="1" x14ac:dyDescent="0.3">
      <c r="A78" s="2"/>
      <c r="B78" s="2"/>
      <c r="C78" s="2"/>
      <c r="E78" s="2"/>
      <c r="F78" s="55"/>
      <c r="G78" s="55"/>
      <c r="H78" s="55"/>
      <c r="I78" s="61"/>
      <c r="J78" s="55"/>
      <c r="K78" s="60"/>
      <c r="L78" s="29"/>
      <c r="M78" s="29"/>
      <c r="N78" s="29"/>
      <c r="O78" s="29"/>
      <c r="P78" s="29"/>
      <c r="Q78" s="29"/>
    </row>
    <row r="79" spans="1:17" hidden="1" x14ac:dyDescent="0.3">
      <c r="A79" s="2"/>
      <c r="B79" s="2"/>
      <c r="C79" s="2"/>
      <c r="E79" s="2"/>
      <c r="F79" s="55" t="e">
        <v>#REF!</v>
      </c>
      <c r="G79" s="55">
        <f>F82-G85+G97</f>
        <v>264</v>
      </c>
      <c r="H79" s="55">
        <f>G82-H85+H97</f>
        <v>267</v>
      </c>
      <c r="I79" s="55">
        <f>H82-I85+I97</f>
        <v>271</v>
      </c>
      <c r="J79" s="55">
        <f>I82-J85+J97</f>
        <v>281</v>
      </c>
      <c r="K79" s="55">
        <f>J82-K85+K97</f>
        <v>305</v>
      </c>
      <c r="L79" s="55">
        <f>K82-L85+L112</f>
        <v>402</v>
      </c>
      <c r="M79" s="55">
        <f>L82-M85+M112</f>
        <v>416</v>
      </c>
      <c r="N79" s="55">
        <f>M82-N85+N112</f>
        <v>381</v>
      </c>
      <c r="O79" s="55">
        <f>N82-O85+O112</f>
        <v>383</v>
      </c>
      <c r="P79" s="55">
        <f>O82-P85+P112</f>
        <v>401</v>
      </c>
      <c r="Q79" s="29"/>
    </row>
    <row r="80" spans="1:17" hidden="1" x14ac:dyDescent="0.3">
      <c r="A80" s="2"/>
      <c r="B80" s="2"/>
      <c r="C80" s="2"/>
      <c r="E80" s="2"/>
      <c r="F80" s="55" t="e">
        <f>F82-F79</f>
        <v>#REF!</v>
      </c>
      <c r="G80" s="55">
        <f>G82-G79</f>
        <v>38</v>
      </c>
      <c r="H80" s="55">
        <f>H82-H79</f>
        <v>47</v>
      </c>
      <c r="I80" s="55">
        <f>I82-I79</f>
        <v>44</v>
      </c>
      <c r="J80" s="55">
        <f>J82-J79</f>
        <v>49</v>
      </c>
      <c r="K80" s="55">
        <f>K82-K79</f>
        <v>69</v>
      </c>
      <c r="L80" s="55">
        <f>L82-L79</f>
        <v>1</v>
      </c>
      <c r="M80" s="55">
        <f>M82-M79</f>
        <v>1</v>
      </c>
      <c r="N80" s="55">
        <f>N82-N79</f>
        <v>-3</v>
      </c>
      <c r="O80" s="55">
        <f>O82-O79</f>
        <v>0</v>
      </c>
      <c r="P80" s="55">
        <f>P82-P79</f>
        <v>4</v>
      </c>
      <c r="Q80" s="29"/>
    </row>
    <row r="81" spans="5:17" x14ac:dyDescent="0.3">
      <c r="E81" s="54" t="s">
        <v>33</v>
      </c>
      <c r="F81" s="54" t="s">
        <v>32</v>
      </c>
      <c r="G81" s="54" t="s">
        <v>31</v>
      </c>
      <c r="H81" s="54" t="s">
        <v>30</v>
      </c>
      <c r="I81" s="54" t="s">
        <v>29</v>
      </c>
      <c r="J81" s="54" t="s">
        <v>28</v>
      </c>
      <c r="K81" s="54" t="s">
        <v>27</v>
      </c>
      <c r="L81" s="54" t="s">
        <v>26</v>
      </c>
      <c r="M81" s="54" t="s">
        <v>25</v>
      </c>
      <c r="N81" s="54" t="s">
        <v>24</v>
      </c>
      <c r="O81" s="54" t="s">
        <v>23</v>
      </c>
      <c r="P81" s="54" t="s">
        <v>22</v>
      </c>
      <c r="Q81" s="54" t="s">
        <v>21</v>
      </c>
    </row>
    <row r="82" spans="5:17" x14ac:dyDescent="0.3">
      <c r="E82" s="5" t="s">
        <v>19</v>
      </c>
      <c r="F82" s="8">
        <f>SUM(F83:F84)</f>
        <v>293</v>
      </c>
      <c r="G82" s="8">
        <f>SUM(G83:G84)</f>
        <v>302</v>
      </c>
      <c r="H82" s="8">
        <f>SUM(H83:H84)</f>
        <v>314</v>
      </c>
      <c r="I82" s="8">
        <f>SUM(I83:I84)</f>
        <v>315</v>
      </c>
      <c r="J82" s="8">
        <f>SUM(J83:J84)</f>
        <v>330</v>
      </c>
      <c r="K82" s="8">
        <f>SUM(K83:K84)</f>
        <v>374</v>
      </c>
      <c r="L82" s="8">
        <f>SUM(L83:L84)</f>
        <v>403</v>
      </c>
      <c r="M82" s="8">
        <f>SUM(M83:M84)</f>
        <v>417</v>
      </c>
      <c r="N82" s="8">
        <f>SUM(N83:N84)</f>
        <v>378</v>
      </c>
      <c r="O82" s="8">
        <f>SUM(O83:O84)</f>
        <v>383</v>
      </c>
      <c r="P82" s="8">
        <f>SUM(P83:P84)</f>
        <v>405</v>
      </c>
      <c r="Q82" s="8">
        <f>SUM(Q83:Q84)</f>
        <v>411</v>
      </c>
    </row>
    <row r="83" spans="5:17" x14ac:dyDescent="0.3">
      <c r="E83" s="14" t="s">
        <v>41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/>
      <c r="O83" s="8"/>
      <c r="P83" s="8"/>
      <c r="Q83" s="8"/>
    </row>
    <row r="84" spans="5:17" x14ac:dyDescent="0.3">
      <c r="E84" s="14" t="s">
        <v>40</v>
      </c>
      <c r="F84" s="8">
        <v>293</v>
      </c>
      <c r="G84" s="8">
        <v>302</v>
      </c>
      <c r="H84" s="8">
        <v>314</v>
      </c>
      <c r="I84" s="8">
        <v>315</v>
      </c>
      <c r="J84" s="8">
        <v>330</v>
      </c>
      <c r="K84" s="8">
        <v>374</v>
      </c>
      <c r="L84" s="8">
        <v>403</v>
      </c>
      <c r="M84" s="62">
        <v>417</v>
      </c>
      <c r="N84" s="62">
        <v>378</v>
      </c>
      <c r="O84" s="62">
        <v>383</v>
      </c>
      <c r="P84" s="62">
        <v>405</v>
      </c>
      <c r="Q84" s="62">
        <v>411</v>
      </c>
    </row>
    <row r="85" spans="5:17" x14ac:dyDescent="0.3">
      <c r="E85" s="5" t="s">
        <v>39</v>
      </c>
      <c r="F85" s="8">
        <f>SUM(F88,F89,F105,F106,F107,F108)</f>
        <v>62</v>
      </c>
      <c r="G85" s="8">
        <f>SUM(G88,G89,G105,G106,G107,G108)</f>
        <v>29</v>
      </c>
      <c r="H85" s="8">
        <f>SUM(H88,H89,H105,H106,H107,H108)</f>
        <v>35</v>
      </c>
      <c r="I85" s="8">
        <f>SUM(I88,I89,I105,I106,I107,I108)</f>
        <v>43</v>
      </c>
      <c r="J85" s="8">
        <f>SUM(J88,J89,J105,J106,J107,J108)</f>
        <v>34</v>
      </c>
      <c r="K85" s="8">
        <f>SUM(K88,K89,K105,K106,K107,K108)</f>
        <v>25</v>
      </c>
      <c r="L85" s="8">
        <f>SUM(L88,L89,L105,L106,L107,L108)</f>
        <v>36</v>
      </c>
      <c r="M85" s="8">
        <f>SUM(M88,M89,M105,M106,M107,M108)</f>
        <v>33</v>
      </c>
      <c r="N85" s="8">
        <f>SUM(N88,N89,N105,N106,N107,N108)</f>
        <v>40</v>
      </c>
      <c r="O85" s="8">
        <f>SUM(O88,O89,O105,O106,O107,O108)</f>
        <v>42</v>
      </c>
      <c r="P85" s="8">
        <f>SUM(P88,P89,P105,P106,P107,P108)</f>
        <v>33</v>
      </c>
      <c r="Q85" s="8">
        <f>SUM(Q88,Q89,Q105,Q106,Q107,Q108)</f>
        <v>32</v>
      </c>
    </row>
    <row r="86" spans="5:17" x14ac:dyDescent="0.3">
      <c r="E86" s="5" t="s">
        <v>15</v>
      </c>
      <c r="F86" s="8">
        <v>0</v>
      </c>
      <c r="G86" s="8">
        <v>1</v>
      </c>
      <c r="H86" s="8">
        <v>0</v>
      </c>
      <c r="I86" s="8">
        <v>1</v>
      </c>
      <c r="J86" s="8">
        <v>0</v>
      </c>
      <c r="K86" s="8">
        <v>2</v>
      </c>
      <c r="L86" s="8">
        <v>1</v>
      </c>
      <c r="M86" s="8">
        <v>0</v>
      </c>
      <c r="N86" s="8">
        <v>1</v>
      </c>
      <c r="O86" s="8">
        <v>3</v>
      </c>
      <c r="P86" s="8">
        <v>3</v>
      </c>
      <c r="Q86" s="8"/>
    </row>
    <row r="87" spans="5:17" x14ac:dyDescent="0.3">
      <c r="E87" s="5" t="s">
        <v>14</v>
      </c>
      <c r="F87" s="10">
        <v>0.19135802469135801</v>
      </c>
      <c r="G87" s="10">
        <f>IFERROR((G85/F82),0)</f>
        <v>9.8976109215017066E-2</v>
      </c>
      <c r="H87" s="10">
        <f>IFERROR((H85/G82),0)</f>
        <v>0.11589403973509933</v>
      </c>
      <c r="I87" s="10">
        <f>IFERROR((I85/H82),0)</f>
        <v>0.13694267515923567</v>
      </c>
      <c r="J87" s="10">
        <f>IFERROR((J85/I82),0)</f>
        <v>0.10793650793650794</v>
      </c>
      <c r="K87" s="10">
        <f>IFERROR((K85/J82),0)</f>
        <v>7.575757575757576E-2</v>
      </c>
      <c r="L87" s="10">
        <f>IFERROR((L85/K82),0)</f>
        <v>9.6256684491978606E-2</v>
      </c>
      <c r="M87" s="10">
        <f>IFERROR((M85/L82),0)</f>
        <v>8.1885856079404462E-2</v>
      </c>
      <c r="N87" s="10">
        <f>IFERROR((N85/M82),0)</f>
        <v>9.5923261390887291E-2</v>
      </c>
      <c r="O87" s="10">
        <f>IFERROR((O85/N82),0)</f>
        <v>0.1111111111111111</v>
      </c>
      <c r="P87" s="10">
        <f>IFERROR((P85/O82),0)</f>
        <v>8.6161879895561358E-2</v>
      </c>
      <c r="Q87" s="10">
        <f>IFERROR((Q85/P82),0)</f>
        <v>7.9012345679012344E-2</v>
      </c>
    </row>
    <row r="88" spans="5:17" x14ac:dyDescent="0.3">
      <c r="E88" s="5" t="s">
        <v>13</v>
      </c>
      <c r="F88" s="8">
        <v>60</v>
      </c>
      <c r="G88" s="8">
        <v>16</v>
      </c>
      <c r="H88" s="8">
        <v>27</v>
      </c>
      <c r="I88" s="8">
        <v>22</v>
      </c>
      <c r="J88" s="8">
        <v>25</v>
      </c>
      <c r="K88" s="8">
        <v>21</v>
      </c>
      <c r="L88" s="8">
        <v>24</v>
      </c>
      <c r="M88" s="66">
        <v>27</v>
      </c>
      <c r="N88" s="66">
        <v>30</v>
      </c>
      <c r="O88" s="66">
        <v>28</v>
      </c>
      <c r="P88" s="66">
        <v>18</v>
      </c>
      <c r="Q88" s="66">
        <v>27</v>
      </c>
    </row>
    <row r="89" spans="5:17" x14ac:dyDescent="0.3">
      <c r="E89" s="5" t="s">
        <v>12</v>
      </c>
      <c r="F89" s="8">
        <v>2</v>
      </c>
      <c r="G89" s="8">
        <v>9</v>
      </c>
      <c r="H89" s="8">
        <v>5</v>
      </c>
      <c r="I89" s="8">
        <v>4</v>
      </c>
      <c r="J89" s="8">
        <v>9</v>
      </c>
      <c r="K89" s="8">
        <v>3</v>
      </c>
      <c r="L89" s="8">
        <v>12</v>
      </c>
      <c r="M89" s="66">
        <v>6</v>
      </c>
      <c r="N89" s="66">
        <v>9</v>
      </c>
      <c r="O89" s="66">
        <v>14</v>
      </c>
      <c r="P89" s="66">
        <v>13</v>
      </c>
      <c r="Q89" s="66">
        <v>4</v>
      </c>
    </row>
    <row r="90" spans="5:17" hidden="1" x14ac:dyDescent="0.3">
      <c r="E90" s="5" t="s">
        <v>11</v>
      </c>
      <c r="F90" s="8"/>
      <c r="G90" s="8">
        <v>0</v>
      </c>
      <c r="H90" s="8"/>
      <c r="I90" s="8">
        <v>0</v>
      </c>
      <c r="J90" s="8"/>
      <c r="K90" s="8"/>
      <c r="L90" s="8">
        <v>0</v>
      </c>
      <c r="M90" s="8"/>
      <c r="N90" s="8"/>
      <c r="O90" s="8">
        <v>0</v>
      </c>
      <c r="P90" s="8"/>
      <c r="Q90" s="8"/>
    </row>
    <row r="91" spans="5:17" hidden="1" x14ac:dyDescent="0.3">
      <c r="E91" s="5" t="s">
        <v>6</v>
      </c>
      <c r="F91" s="8"/>
      <c r="G91" s="8">
        <v>0</v>
      </c>
      <c r="H91" s="8"/>
      <c r="I91" s="8">
        <v>0</v>
      </c>
      <c r="J91" s="8"/>
      <c r="K91" s="8"/>
      <c r="L91" s="8">
        <v>0</v>
      </c>
      <c r="M91" s="8"/>
      <c r="N91" s="8"/>
      <c r="O91" s="8">
        <v>0</v>
      </c>
      <c r="P91" s="8"/>
      <c r="Q91" s="8"/>
    </row>
    <row r="92" spans="5:17" hidden="1" x14ac:dyDescent="0.3">
      <c r="E92" s="5" t="s">
        <v>5</v>
      </c>
      <c r="F92" s="8"/>
      <c r="G92" s="8">
        <v>0</v>
      </c>
      <c r="H92" s="8"/>
      <c r="I92" s="8">
        <v>0</v>
      </c>
      <c r="J92" s="8"/>
      <c r="K92" s="8"/>
      <c r="L92" s="8">
        <v>0</v>
      </c>
      <c r="M92" s="8"/>
      <c r="N92" s="8"/>
      <c r="O92" s="8">
        <v>0</v>
      </c>
      <c r="P92" s="8"/>
      <c r="Q92" s="8"/>
    </row>
    <row r="93" spans="5:17" hidden="1" x14ac:dyDescent="0.3">
      <c r="E93" s="5" t="s">
        <v>4</v>
      </c>
      <c r="F93" s="8"/>
      <c r="G93" s="8">
        <v>0</v>
      </c>
      <c r="H93" s="8"/>
      <c r="I93" s="8">
        <v>0</v>
      </c>
      <c r="J93" s="8"/>
      <c r="K93" s="8"/>
      <c r="L93" s="8">
        <v>0</v>
      </c>
      <c r="M93" s="8"/>
      <c r="N93" s="8"/>
      <c r="O93" s="8">
        <v>0</v>
      </c>
      <c r="P93" s="8"/>
      <c r="Q93" s="8"/>
    </row>
    <row r="94" spans="5:17" hidden="1" x14ac:dyDescent="0.3">
      <c r="E94" s="5" t="s">
        <v>3</v>
      </c>
      <c r="F94" s="8"/>
      <c r="G94" s="8">
        <v>0</v>
      </c>
      <c r="H94" s="8"/>
      <c r="I94" s="8">
        <v>0</v>
      </c>
      <c r="J94" s="8"/>
      <c r="K94" s="8"/>
      <c r="L94" s="8">
        <v>0</v>
      </c>
      <c r="M94" s="8"/>
      <c r="N94" s="8"/>
      <c r="O94" s="8">
        <v>0</v>
      </c>
      <c r="P94" s="8"/>
      <c r="Q94" s="8"/>
    </row>
    <row r="95" spans="5:17" hidden="1" x14ac:dyDescent="0.3">
      <c r="E95" s="5" t="s">
        <v>2</v>
      </c>
      <c r="F95" s="8"/>
      <c r="G95" s="8">
        <v>0</v>
      </c>
      <c r="H95" s="8"/>
      <c r="I95" s="8">
        <v>0</v>
      </c>
      <c r="J95" s="8"/>
      <c r="K95" s="8"/>
      <c r="L95" s="8">
        <v>0</v>
      </c>
      <c r="M95" s="8"/>
      <c r="N95" s="8"/>
      <c r="O95" s="8">
        <v>0</v>
      </c>
      <c r="P95" s="8"/>
      <c r="Q95" s="8"/>
    </row>
    <row r="96" spans="5:17" hidden="1" x14ac:dyDescent="0.3">
      <c r="E96" s="5" t="s">
        <v>1</v>
      </c>
      <c r="F96" s="8"/>
      <c r="G96" s="8">
        <v>0</v>
      </c>
      <c r="H96" s="8"/>
      <c r="I96" s="8">
        <v>0</v>
      </c>
      <c r="J96" s="8"/>
      <c r="K96" s="8"/>
      <c r="L96" s="8">
        <v>0</v>
      </c>
      <c r="M96" s="8"/>
      <c r="N96" s="8"/>
      <c r="O96" s="8">
        <v>0</v>
      </c>
      <c r="P96" s="8"/>
      <c r="Q96" s="8"/>
    </row>
    <row r="97" spans="5:17" hidden="1" x14ac:dyDescent="0.3">
      <c r="E97" s="5" t="s">
        <v>0</v>
      </c>
      <c r="F97" s="8"/>
      <c r="G97" s="8">
        <v>0</v>
      </c>
      <c r="H97" s="8"/>
      <c r="I97" s="8">
        <v>0</v>
      </c>
      <c r="J97" s="8"/>
      <c r="K97" s="8"/>
      <c r="L97" s="8">
        <v>0</v>
      </c>
      <c r="M97" s="8"/>
      <c r="N97" s="8"/>
      <c r="O97" s="8">
        <v>0</v>
      </c>
      <c r="P97" s="8"/>
      <c r="Q97" s="8"/>
    </row>
    <row r="98" spans="5:17" hidden="1" x14ac:dyDescent="0.3">
      <c r="E98" s="59"/>
      <c r="F98" s="8"/>
      <c r="G98" s="8">
        <v>0</v>
      </c>
      <c r="H98" s="8"/>
      <c r="I98" s="8">
        <v>0</v>
      </c>
      <c r="J98" s="8"/>
      <c r="K98" s="8"/>
      <c r="L98" s="8">
        <v>0</v>
      </c>
      <c r="M98" s="8"/>
      <c r="N98" s="8"/>
      <c r="O98" s="8">
        <v>0</v>
      </c>
      <c r="P98" s="8"/>
      <c r="Q98" s="8"/>
    </row>
    <row r="99" spans="5:17" hidden="1" x14ac:dyDescent="0.3">
      <c r="E99" s="58" t="s">
        <v>33</v>
      </c>
      <c r="F99" s="8"/>
      <c r="G99" s="8">
        <v>0</v>
      </c>
      <c r="H99" s="8"/>
      <c r="I99" s="8">
        <v>0</v>
      </c>
      <c r="J99" s="8"/>
      <c r="K99" s="8"/>
      <c r="L99" s="8">
        <v>0</v>
      </c>
      <c r="M99" s="8"/>
      <c r="N99" s="8"/>
      <c r="O99" s="8">
        <v>0</v>
      </c>
      <c r="P99" s="8"/>
      <c r="Q99" s="8"/>
    </row>
    <row r="100" spans="5:17" hidden="1" x14ac:dyDescent="0.3">
      <c r="E100" s="5" t="s">
        <v>44</v>
      </c>
      <c r="F100" s="8"/>
      <c r="G100" s="8">
        <v>0</v>
      </c>
      <c r="H100" s="8"/>
      <c r="I100" s="8">
        <v>0</v>
      </c>
      <c r="J100" s="8"/>
      <c r="K100" s="8"/>
      <c r="L100" s="8">
        <v>0</v>
      </c>
      <c r="M100" s="8"/>
      <c r="N100" s="8"/>
      <c r="O100" s="8">
        <v>0</v>
      </c>
      <c r="P100" s="8"/>
      <c r="Q100" s="8"/>
    </row>
    <row r="101" spans="5:17" hidden="1" x14ac:dyDescent="0.3">
      <c r="E101" s="5" t="s">
        <v>39</v>
      </c>
      <c r="F101" s="8"/>
      <c r="G101" s="8">
        <v>0</v>
      </c>
      <c r="H101" s="8"/>
      <c r="I101" s="8">
        <v>0</v>
      </c>
      <c r="J101" s="8"/>
      <c r="K101" s="8"/>
      <c r="L101" s="8">
        <v>0</v>
      </c>
      <c r="M101" s="8"/>
      <c r="N101" s="8"/>
      <c r="O101" s="8">
        <v>0</v>
      </c>
      <c r="P101" s="8"/>
      <c r="Q101" s="8"/>
    </row>
    <row r="102" spans="5:17" hidden="1" x14ac:dyDescent="0.3">
      <c r="E102" s="5" t="s">
        <v>14</v>
      </c>
      <c r="F102" s="8"/>
      <c r="G102" s="8">
        <v>0</v>
      </c>
      <c r="H102" s="8"/>
      <c r="I102" s="8">
        <v>0</v>
      </c>
      <c r="J102" s="8"/>
      <c r="K102" s="8"/>
      <c r="L102" s="8">
        <v>0</v>
      </c>
      <c r="M102" s="8"/>
      <c r="N102" s="8"/>
      <c r="O102" s="8">
        <v>0</v>
      </c>
      <c r="P102" s="8"/>
      <c r="Q102" s="8"/>
    </row>
    <row r="103" spans="5:17" hidden="1" x14ac:dyDescent="0.3">
      <c r="E103" s="5" t="s">
        <v>13</v>
      </c>
      <c r="F103" s="8"/>
      <c r="G103" s="8">
        <v>0</v>
      </c>
      <c r="H103" s="8"/>
      <c r="I103" s="8">
        <v>0</v>
      </c>
      <c r="J103" s="8"/>
      <c r="K103" s="8"/>
      <c r="L103" s="8">
        <v>0</v>
      </c>
      <c r="M103" s="8"/>
      <c r="N103" s="8"/>
      <c r="O103" s="8">
        <v>0</v>
      </c>
      <c r="P103" s="8"/>
      <c r="Q103" s="8"/>
    </row>
    <row r="104" spans="5:17" hidden="1" x14ac:dyDescent="0.3">
      <c r="E104" s="5" t="s">
        <v>12</v>
      </c>
      <c r="F104" s="8"/>
      <c r="G104" s="8">
        <v>0</v>
      </c>
      <c r="H104" s="8"/>
      <c r="I104" s="8">
        <v>0</v>
      </c>
      <c r="J104" s="8"/>
      <c r="K104" s="8"/>
      <c r="L104" s="8">
        <v>0</v>
      </c>
      <c r="M104" s="8"/>
      <c r="N104" s="8"/>
      <c r="O104" s="8">
        <v>0</v>
      </c>
      <c r="P104" s="8"/>
      <c r="Q104" s="8"/>
    </row>
    <row r="105" spans="5:17" x14ac:dyDescent="0.3">
      <c r="E105" s="5" t="s">
        <v>11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/>
      <c r="Q105" s="8">
        <v>0</v>
      </c>
    </row>
    <row r="106" spans="5:17" hidden="1" x14ac:dyDescent="0.3">
      <c r="E106" s="5" t="s">
        <v>48</v>
      </c>
      <c r="F106" s="8">
        <v>0</v>
      </c>
      <c r="G106" s="8">
        <v>2</v>
      </c>
      <c r="H106" s="8">
        <v>3</v>
      </c>
      <c r="I106" s="8">
        <v>0</v>
      </c>
      <c r="J106" s="8"/>
      <c r="K106" s="8"/>
      <c r="L106" s="8">
        <v>0</v>
      </c>
      <c r="M106" s="8">
        <v>0</v>
      </c>
      <c r="N106" s="8">
        <v>0</v>
      </c>
      <c r="O106" s="8">
        <v>0</v>
      </c>
      <c r="P106" s="8"/>
      <c r="Q106" s="8">
        <v>0</v>
      </c>
    </row>
    <row r="107" spans="5:17" x14ac:dyDescent="0.3">
      <c r="E107" s="5" t="s">
        <v>47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8">
        <v>0</v>
      </c>
      <c r="M107" s="8">
        <v>0</v>
      </c>
      <c r="N107" s="8">
        <v>0</v>
      </c>
      <c r="O107" s="8">
        <v>0</v>
      </c>
      <c r="P107" s="8"/>
      <c r="Q107" s="8">
        <v>0</v>
      </c>
    </row>
    <row r="108" spans="5:17" x14ac:dyDescent="0.3">
      <c r="E108" s="5" t="s">
        <v>46</v>
      </c>
      <c r="F108" s="8">
        <v>0</v>
      </c>
      <c r="G108" s="8">
        <v>2</v>
      </c>
      <c r="H108" s="8">
        <v>0</v>
      </c>
      <c r="I108" s="8">
        <v>17</v>
      </c>
      <c r="J108" s="8">
        <v>0</v>
      </c>
      <c r="K108" s="8">
        <v>1</v>
      </c>
      <c r="L108" s="8">
        <v>0</v>
      </c>
      <c r="M108" s="8">
        <v>0</v>
      </c>
      <c r="N108" s="8">
        <v>1</v>
      </c>
      <c r="O108" s="8">
        <v>0</v>
      </c>
      <c r="P108" s="8">
        <v>2</v>
      </c>
      <c r="Q108" s="8">
        <v>1</v>
      </c>
    </row>
    <row r="109" spans="5:17" x14ac:dyDescent="0.3">
      <c r="E109" s="5" t="s">
        <v>6</v>
      </c>
      <c r="F109" s="23">
        <v>59937.000000000044</v>
      </c>
      <c r="G109" s="23">
        <v>60613.09</v>
      </c>
      <c r="H109" s="23">
        <v>70786.120000000083</v>
      </c>
      <c r="I109" s="23">
        <v>61952.920000000115</v>
      </c>
      <c r="J109" s="23">
        <v>62148.610000000088</v>
      </c>
      <c r="K109" s="8">
        <v>67648.230000000185</v>
      </c>
      <c r="L109" s="8">
        <v>69757.590000000171</v>
      </c>
      <c r="M109" s="63">
        <v>77066.820000000196</v>
      </c>
      <c r="N109" s="63">
        <v>69355.960000000196</v>
      </c>
      <c r="O109" s="8">
        <v>77681.449999999953</v>
      </c>
      <c r="P109" s="8">
        <v>84949.259999999951</v>
      </c>
      <c r="Q109" s="8">
        <v>85349.819999999963</v>
      </c>
    </row>
    <row r="110" spans="5:17" x14ac:dyDescent="0.3">
      <c r="E110" s="5" t="s">
        <v>5</v>
      </c>
      <c r="F110" s="23">
        <v>43153.560000000041</v>
      </c>
      <c r="G110" s="23">
        <v>39289.210000000036</v>
      </c>
      <c r="H110" s="23">
        <v>49392.30000000009</v>
      </c>
      <c r="I110" s="23">
        <v>48344.770000000113</v>
      </c>
      <c r="J110" s="23">
        <v>49028.560000000085</v>
      </c>
      <c r="K110" s="8">
        <v>56371.530000000188</v>
      </c>
      <c r="L110" s="8">
        <v>55578.400000000169</v>
      </c>
      <c r="M110" s="63">
        <v>62241.360000000197</v>
      </c>
      <c r="N110" s="63">
        <v>59461.960000000196</v>
      </c>
      <c r="O110" s="8">
        <v>65051.949999999946</v>
      </c>
      <c r="P110" s="8">
        <v>66880.929999999964</v>
      </c>
      <c r="Q110" s="8">
        <v>70608.27999999997</v>
      </c>
    </row>
    <row r="111" spans="5:17" x14ac:dyDescent="0.3">
      <c r="E111" s="5" t="s">
        <v>4</v>
      </c>
      <c r="F111" s="10">
        <f>IFERROR((1-F110/F109),0)</f>
        <v>0.28001801891986566</v>
      </c>
      <c r="G111" s="10">
        <f>IFERROR((1-G110/G109),0)</f>
        <v>0.35180321610397958</v>
      </c>
      <c r="H111" s="10">
        <f>IFERROR((1-H110/H109),0)</f>
        <v>0.30223184997284736</v>
      </c>
      <c r="I111" s="10">
        <f>IFERROR((1-I110/I109),0)</f>
        <v>0.21965308495547875</v>
      </c>
      <c r="J111" s="10">
        <f>IFERROR((1-J110/J109),0)</f>
        <v>0.21110769814481745</v>
      </c>
      <c r="K111" s="10">
        <f>IFERROR((1-K110/K109),0)</f>
        <v>0.16669615746043864</v>
      </c>
      <c r="L111" s="10">
        <f>IFERROR((1-L110/L109),0)</f>
        <v>0.20326375954215115</v>
      </c>
      <c r="M111" s="10">
        <f>IFERROR((1-M110/M109),0)</f>
        <v>0.19237150306707818</v>
      </c>
      <c r="N111" s="10">
        <f>IFERROR((1-N110/N109),0)</f>
        <v>0.14265536804623524</v>
      </c>
      <c r="O111" s="10">
        <f>IFERROR((1-O110/O109),0)</f>
        <v>0.16258064183920373</v>
      </c>
      <c r="P111" s="10">
        <f>IFERROR((1-P110/P109),0)</f>
        <v>0.21269555497010806</v>
      </c>
      <c r="Q111" s="10">
        <f>IFERROR((1-Q110/Q109),0)</f>
        <v>0.17271905201440374</v>
      </c>
    </row>
    <row r="112" spans="5:17" x14ac:dyDescent="0.3">
      <c r="E112" s="5" t="s">
        <v>3</v>
      </c>
      <c r="F112" s="8">
        <v>30</v>
      </c>
      <c r="G112" s="8">
        <v>40</v>
      </c>
      <c r="H112" s="8">
        <v>49</v>
      </c>
      <c r="I112" s="8">
        <v>39</v>
      </c>
      <c r="J112" s="8">
        <v>49</v>
      </c>
      <c r="K112" s="8">
        <v>67</v>
      </c>
      <c r="L112" s="8">
        <v>64</v>
      </c>
      <c r="M112" s="62">
        <v>46</v>
      </c>
      <c r="N112" s="62">
        <v>4</v>
      </c>
      <c r="O112" s="62">
        <v>47</v>
      </c>
      <c r="P112" s="62">
        <v>51</v>
      </c>
      <c r="Q112" s="62">
        <v>38</v>
      </c>
    </row>
    <row r="113" spans="1:17" x14ac:dyDescent="0.3">
      <c r="E113" s="5" t="s">
        <v>2</v>
      </c>
      <c r="F113" s="24">
        <f>F109/F82</f>
        <v>204.56313993174075</v>
      </c>
      <c r="G113" s="24">
        <f>G109/G82</f>
        <v>200.70559602649004</v>
      </c>
      <c r="H113" s="24">
        <f>IFERROR(H109/H82,0)</f>
        <v>225.43350318471363</v>
      </c>
      <c r="I113" s="24">
        <f>IFERROR(I109/I82,0)</f>
        <v>196.67593650793688</v>
      </c>
      <c r="J113" s="24">
        <f>IFERROR(J109/J82,0)</f>
        <v>188.32912121212149</v>
      </c>
      <c r="K113" s="24">
        <f>IFERROR(K109/K82,0)</f>
        <v>180.8776203208561</v>
      </c>
      <c r="L113" s="24">
        <f>IFERROR(L109/L82,0)</f>
        <v>173.09575682382177</v>
      </c>
      <c r="M113" s="24">
        <f>IFERROR(M109/M82,0)</f>
        <v>184.81251798561198</v>
      </c>
      <c r="N113" s="24">
        <f>IFERROR(N109/N82,0)</f>
        <v>183.48137566137618</v>
      </c>
      <c r="O113" s="24">
        <f>IFERROR(O109/O82,0)</f>
        <v>202.82362924281972</v>
      </c>
      <c r="P113" s="24">
        <f>IFERROR(P109/P82,0)</f>
        <v>209.75125925925914</v>
      </c>
      <c r="Q113" s="24">
        <f>IFERROR(Q109/Q82,0)</f>
        <v>207.66379562043787</v>
      </c>
    </row>
    <row r="114" spans="1:17" x14ac:dyDescent="0.3">
      <c r="E114" s="5" t="s">
        <v>1</v>
      </c>
      <c r="F114" s="56">
        <v>2845.5174000000002</v>
      </c>
      <c r="G114" s="8">
        <v>1620.6002000000001</v>
      </c>
      <c r="H114" s="8">
        <v>2290.7993999999994</v>
      </c>
      <c r="I114" s="8">
        <v>4536.8642</v>
      </c>
      <c r="J114" s="8">
        <v>3191.1743999999999</v>
      </c>
      <c r="K114" s="8">
        <v>3229.7017999999998</v>
      </c>
      <c r="L114" s="8">
        <v>4410.8217999999997</v>
      </c>
      <c r="M114" s="8">
        <v>5017.3094000000001</v>
      </c>
      <c r="N114" s="8">
        <v>4694.6742000000031</v>
      </c>
      <c r="O114" s="8">
        <v>1633.0705999999996</v>
      </c>
      <c r="P114" s="8">
        <v>4334.0204000000003</v>
      </c>
      <c r="Q114" s="8">
        <v>4596.2088000000003</v>
      </c>
    </row>
    <row r="115" spans="1:17" x14ac:dyDescent="0.3">
      <c r="E115" s="5" t="s">
        <v>0</v>
      </c>
      <c r="F115" s="8">
        <v>1650</v>
      </c>
      <c r="G115" s="8">
        <v>1950</v>
      </c>
      <c r="H115" s="8">
        <v>4070</v>
      </c>
      <c r="I115" s="8">
        <v>2750</v>
      </c>
      <c r="J115" s="8">
        <v>2970</v>
      </c>
      <c r="K115" s="8">
        <v>2970</v>
      </c>
      <c r="L115" s="8">
        <v>4620</v>
      </c>
      <c r="M115" s="8">
        <v>4290</v>
      </c>
      <c r="N115" s="8">
        <v>330</v>
      </c>
      <c r="O115" s="8">
        <v>2530</v>
      </c>
      <c r="P115" s="8">
        <v>2370</v>
      </c>
      <c r="Q115" s="8"/>
    </row>
    <row r="116" spans="1:17" ht="2.4" customHeight="1" x14ac:dyDescent="0.3">
      <c r="A116" s="2"/>
      <c r="B116" s="2"/>
      <c r="C116" s="2"/>
      <c r="E116" s="2"/>
      <c r="F116" s="55"/>
      <c r="G116" s="55"/>
      <c r="H116" s="55"/>
      <c r="I116" s="61"/>
      <c r="J116" s="55"/>
      <c r="K116" s="60"/>
      <c r="L116" s="29"/>
      <c r="M116" s="29"/>
      <c r="N116" s="29"/>
      <c r="O116" s="29"/>
      <c r="P116" s="29"/>
      <c r="Q116" s="29"/>
    </row>
    <row r="117" spans="1:17" hidden="1" x14ac:dyDescent="0.3">
      <c r="A117" s="2"/>
      <c r="B117" s="2"/>
      <c r="C117" s="2"/>
      <c r="E117" s="2"/>
      <c r="F117" s="55" t="e">
        <v>#REF!</v>
      </c>
      <c r="G117" s="55">
        <f>F120-G123+G135</f>
        <v>77</v>
      </c>
      <c r="H117" s="55">
        <f>G120-H123+H135</f>
        <v>104</v>
      </c>
      <c r="I117" s="55">
        <f>H120-I123+I135</f>
        <v>149</v>
      </c>
      <c r="J117" s="55">
        <f>I120-J123+J135</f>
        <v>191</v>
      </c>
      <c r="K117" s="55">
        <f>J120-K123+K135</f>
        <v>268</v>
      </c>
      <c r="L117" s="55">
        <f>K120-L123+L150</f>
        <v>475</v>
      </c>
      <c r="M117" s="55">
        <f>L120-M123+M150</f>
        <v>530</v>
      </c>
      <c r="N117" s="55">
        <f>M120-N123+N150</f>
        <v>582</v>
      </c>
      <c r="O117" s="55">
        <f>N120-O123+O150</f>
        <v>618</v>
      </c>
      <c r="P117" s="55">
        <f>O120-P123+P150</f>
        <v>664</v>
      </c>
      <c r="Q117" s="29"/>
    </row>
    <row r="118" spans="1:17" hidden="1" x14ac:dyDescent="0.3">
      <c r="A118" s="2"/>
      <c r="B118" s="2"/>
      <c r="C118" s="2"/>
      <c r="E118" s="2"/>
      <c r="F118" s="55" t="e">
        <f>F120-F117</f>
        <v>#REF!</v>
      </c>
      <c r="G118" s="55">
        <f>G120-G117</f>
        <v>39</v>
      </c>
      <c r="H118" s="55">
        <f>H120-H117</f>
        <v>57</v>
      </c>
      <c r="I118" s="55">
        <f>I120-I117</f>
        <v>53</v>
      </c>
      <c r="J118" s="55">
        <f>J120-J117</f>
        <v>91</v>
      </c>
      <c r="K118" s="55">
        <f>K120-K117</f>
        <v>151</v>
      </c>
      <c r="L118" s="55">
        <f>L120-L117</f>
        <v>3</v>
      </c>
      <c r="M118" s="55">
        <f>M120-M117</f>
        <v>5</v>
      </c>
      <c r="N118" s="55">
        <f>N120-N117</f>
        <v>1</v>
      </c>
      <c r="O118" s="55">
        <f>O120-O117</f>
        <v>1</v>
      </c>
      <c r="P118" s="55">
        <f>P120-P117</f>
        <v>1</v>
      </c>
      <c r="Q118" s="29"/>
    </row>
    <row r="119" spans="1:17" x14ac:dyDescent="0.3">
      <c r="E119" s="65" t="s">
        <v>33</v>
      </c>
      <c r="F119" s="54" t="s">
        <v>32</v>
      </c>
      <c r="G119" s="54" t="s">
        <v>31</v>
      </c>
      <c r="H119" s="54" t="s">
        <v>30</v>
      </c>
      <c r="I119" s="54" t="s">
        <v>29</v>
      </c>
      <c r="J119" s="54" t="s">
        <v>28</v>
      </c>
      <c r="K119" s="54" t="s">
        <v>27</v>
      </c>
      <c r="L119" s="54" t="s">
        <v>26</v>
      </c>
      <c r="M119" s="54" t="s">
        <v>25</v>
      </c>
      <c r="N119" s="54" t="s">
        <v>24</v>
      </c>
      <c r="O119" s="54" t="s">
        <v>23</v>
      </c>
      <c r="P119" s="54" t="s">
        <v>22</v>
      </c>
      <c r="Q119" s="54" t="s">
        <v>21</v>
      </c>
    </row>
    <row r="120" spans="1:17" x14ac:dyDescent="0.3">
      <c r="E120" s="5" t="s">
        <v>19</v>
      </c>
      <c r="F120" s="8">
        <f>SUM(F121:F122)</f>
        <v>99</v>
      </c>
      <c r="G120" s="8">
        <f>SUM(G121:G122)</f>
        <v>116</v>
      </c>
      <c r="H120" s="8">
        <f>SUM(H121:H122)</f>
        <v>161</v>
      </c>
      <c r="I120" s="8">
        <f>SUM(I121:I122)</f>
        <v>202</v>
      </c>
      <c r="J120" s="8">
        <f>SUM(J121:J122)</f>
        <v>282</v>
      </c>
      <c r="K120" s="8">
        <f>SUM(K121:K122)</f>
        <v>419</v>
      </c>
      <c r="L120" s="8">
        <f>SUM(L121:L122)</f>
        <v>478</v>
      </c>
      <c r="M120" s="8">
        <f>SUM(M121:M122)</f>
        <v>535</v>
      </c>
      <c r="N120" s="8">
        <f>SUM(N121:N122)</f>
        <v>583</v>
      </c>
      <c r="O120" s="8">
        <f>SUM(O121:O122)</f>
        <v>619</v>
      </c>
      <c r="P120" s="8">
        <f>SUM(P121:P122)</f>
        <v>665</v>
      </c>
      <c r="Q120" s="8">
        <f>SUM(Q121:Q122)</f>
        <v>689</v>
      </c>
    </row>
    <row r="121" spans="1:17" x14ac:dyDescent="0.3">
      <c r="E121" s="14" t="s">
        <v>41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/>
      <c r="N121" s="8"/>
      <c r="O121" s="8"/>
      <c r="P121" s="8"/>
      <c r="Q121" s="8"/>
    </row>
    <row r="122" spans="1:17" x14ac:dyDescent="0.3">
      <c r="E122" s="14" t="s">
        <v>40</v>
      </c>
      <c r="F122" s="8">
        <v>99</v>
      </c>
      <c r="G122" s="8">
        <v>116</v>
      </c>
      <c r="H122" s="8">
        <v>161</v>
      </c>
      <c r="I122" s="8">
        <v>202</v>
      </c>
      <c r="J122" s="8">
        <v>282</v>
      </c>
      <c r="K122" s="8">
        <v>419</v>
      </c>
      <c r="L122" s="8">
        <v>478</v>
      </c>
      <c r="M122" s="62">
        <v>535</v>
      </c>
      <c r="N122" s="62">
        <v>583</v>
      </c>
      <c r="O122" s="62">
        <v>619</v>
      </c>
      <c r="P122" s="62">
        <v>665</v>
      </c>
      <c r="Q122" s="62">
        <v>689</v>
      </c>
    </row>
    <row r="123" spans="1:17" ht="13.95" customHeight="1" x14ac:dyDescent="0.3">
      <c r="E123" s="5" t="s">
        <v>39</v>
      </c>
      <c r="F123" s="8">
        <f>SUM(F126,F127,F143,F144,F145,F146)</f>
        <v>5</v>
      </c>
      <c r="G123" s="8">
        <f>SUM(G126,G127,G143,G144,G145,G146)</f>
        <v>22</v>
      </c>
      <c r="H123" s="8">
        <f>SUM(H126,H127,H143,H144,H145,H146)</f>
        <v>12</v>
      </c>
      <c r="I123" s="8">
        <f>SUM(I126,I127,I143,I144,I145,I146)</f>
        <v>12</v>
      </c>
      <c r="J123" s="8">
        <f>SUM(J126,J127,J143,J144,J145,J146)</f>
        <v>11</v>
      </c>
      <c r="K123" s="8">
        <f>SUM(K126,K127,K143,K144,K145,K146)</f>
        <v>14</v>
      </c>
      <c r="L123" s="8">
        <f>SUM(L126,L127,L143,L144,L145,L146)</f>
        <v>29</v>
      </c>
      <c r="M123" s="8">
        <f>SUM(M126,M127,M143,M144,M145,M146)</f>
        <v>41</v>
      </c>
      <c r="N123" s="8">
        <f>SUM(N126,N127,N143,N144,N145,N146)</f>
        <v>39</v>
      </c>
      <c r="O123" s="8">
        <f>SUM(O126,O127,O143,O144,O145,O146)</f>
        <v>31</v>
      </c>
      <c r="P123" s="8">
        <f>SUM(P126,P127,P143,P144,P145,P146)</f>
        <v>27</v>
      </c>
      <c r="Q123" s="8">
        <f>SUM(Q126,Q127,Q143,Q144,Q145,Q146)</f>
        <v>65</v>
      </c>
    </row>
    <row r="124" spans="1:17" x14ac:dyDescent="0.3">
      <c r="E124" s="5" t="s">
        <v>15</v>
      </c>
      <c r="F124" s="8">
        <v>0</v>
      </c>
      <c r="G124" s="8">
        <v>3</v>
      </c>
      <c r="H124" s="8">
        <v>0</v>
      </c>
      <c r="I124" s="8">
        <v>0</v>
      </c>
      <c r="J124" s="8">
        <v>1</v>
      </c>
      <c r="K124" s="8">
        <v>0</v>
      </c>
      <c r="L124" s="8">
        <v>0</v>
      </c>
      <c r="M124" s="8">
        <v>4</v>
      </c>
      <c r="N124" s="8">
        <v>2</v>
      </c>
      <c r="O124" s="8">
        <v>0</v>
      </c>
      <c r="P124" s="8">
        <v>1</v>
      </c>
      <c r="Q124" s="8">
        <v>5</v>
      </c>
    </row>
    <row r="125" spans="1:17" x14ac:dyDescent="0.3">
      <c r="E125" s="5" t="s">
        <v>14</v>
      </c>
      <c r="F125" s="10">
        <f>IFERROR((F123/F116),0)</f>
        <v>0</v>
      </c>
      <c r="G125" s="10">
        <f>IFERROR((G123/F120),0)</f>
        <v>0.22222222222222221</v>
      </c>
      <c r="H125" s="10">
        <f>IFERROR((H123/G120),0)</f>
        <v>0.10344827586206896</v>
      </c>
      <c r="I125" s="10">
        <f>IFERROR((I123/H120),0)</f>
        <v>7.4534161490683232E-2</v>
      </c>
      <c r="J125" s="10">
        <f>IFERROR((J123/I120),0)</f>
        <v>5.4455445544554455E-2</v>
      </c>
      <c r="K125" s="10">
        <f>IFERROR((K123/J120),0)</f>
        <v>4.9645390070921988E-2</v>
      </c>
      <c r="L125" s="10">
        <f>IFERROR((L123/K120),0)</f>
        <v>6.9212410501193311E-2</v>
      </c>
      <c r="M125" s="10">
        <f>IFERROR((M123/L120),0)</f>
        <v>8.5774058577405859E-2</v>
      </c>
      <c r="N125" s="10">
        <f>IFERROR((N123/M120),0)</f>
        <v>7.2897196261682243E-2</v>
      </c>
      <c r="O125" s="10">
        <f>IFERROR((O123/N120),0)</f>
        <v>5.3173241852487133E-2</v>
      </c>
      <c r="P125" s="10">
        <f>IFERROR((P123/O120),0)</f>
        <v>4.361873990306947E-2</v>
      </c>
      <c r="Q125" s="10">
        <f>IFERROR((Q123/P120),0)</f>
        <v>9.7744360902255634E-2</v>
      </c>
    </row>
    <row r="126" spans="1:17" x14ac:dyDescent="0.3">
      <c r="E126" s="5" t="s">
        <v>13</v>
      </c>
      <c r="F126" s="8">
        <v>3</v>
      </c>
      <c r="G126" s="8">
        <v>16</v>
      </c>
      <c r="H126" s="8">
        <v>7</v>
      </c>
      <c r="I126" s="8">
        <v>9</v>
      </c>
      <c r="J126" s="8">
        <v>5</v>
      </c>
      <c r="K126" s="8">
        <v>9</v>
      </c>
      <c r="L126" s="8">
        <v>17</v>
      </c>
      <c r="M126" s="8">
        <v>27</v>
      </c>
      <c r="N126" s="64">
        <v>24</v>
      </c>
      <c r="O126" s="64">
        <v>24</v>
      </c>
      <c r="P126" s="64">
        <v>15</v>
      </c>
      <c r="Q126" s="64">
        <v>45</v>
      </c>
    </row>
    <row r="127" spans="1:17" x14ac:dyDescent="0.3">
      <c r="E127" s="5" t="s">
        <v>12</v>
      </c>
      <c r="F127" s="8">
        <v>1</v>
      </c>
      <c r="G127" s="8">
        <v>3</v>
      </c>
      <c r="H127" s="8">
        <v>1</v>
      </c>
      <c r="I127" s="8">
        <v>2</v>
      </c>
      <c r="J127" s="8">
        <v>5</v>
      </c>
      <c r="K127" s="8">
        <v>2</v>
      </c>
      <c r="L127" s="8">
        <v>8</v>
      </c>
      <c r="M127" s="8">
        <v>11</v>
      </c>
      <c r="N127" s="64">
        <v>13</v>
      </c>
      <c r="O127" s="64">
        <v>7</v>
      </c>
      <c r="P127" s="64">
        <v>11</v>
      </c>
      <c r="Q127" s="64">
        <v>18</v>
      </c>
    </row>
    <row r="128" spans="1:17" ht="12.75" hidden="1" customHeight="1" x14ac:dyDescent="0.3">
      <c r="E128" s="5" t="s">
        <v>11</v>
      </c>
      <c r="F128" s="8"/>
      <c r="G128" s="8">
        <v>0</v>
      </c>
      <c r="H128" s="8"/>
      <c r="I128" s="8">
        <v>0</v>
      </c>
      <c r="J128" s="8"/>
      <c r="K128" s="8">
        <v>0</v>
      </c>
      <c r="L128" s="8">
        <v>0</v>
      </c>
      <c r="M128" s="8"/>
      <c r="N128" s="8"/>
      <c r="O128" s="8">
        <v>0</v>
      </c>
      <c r="P128" s="8"/>
      <c r="Q128" s="8"/>
    </row>
    <row r="129" spans="5:17" ht="12.75" hidden="1" customHeight="1" x14ac:dyDescent="0.3">
      <c r="E129" s="5" t="s">
        <v>6</v>
      </c>
      <c r="F129" s="8"/>
      <c r="G129" s="8">
        <v>0</v>
      </c>
      <c r="H129" s="8"/>
      <c r="I129" s="8">
        <v>0</v>
      </c>
      <c r="J129" s="8"/>
      <c r="K129" s="8">
        <v>0</v>
      </c>
      <c r="L129" s="8">
        <v>0</v>
      </c>
      <c r="M129" s="8"/>
      <c r="N129" s="8"/>
      <c r="O129" s="8">
        <v>0</v>
      </c>
      <c r="P129" s="8"/>
      <c r="Q129" s="8"/>
    </row>
    <row r="130" spans="5:17" ht="12.75" hidden="1" customHeight="1" x14ac:dyDescent="0.3">
      <c r="E130" s="5" t="s">
        <v>5</v>
      </c>
      <c r="F130" s="8"/>
      <c r="G130" s="8">
        <v>0</v>
      </c>
      <c r="H130" s="8"/>
      <c r="I130" s="8">
        <v>0</v>
      </c>
      <c r="J130" s="8"/>
      <c r="K130" s="8">
        <v>0</v>
      </c>
      <c r="L130" s="8">
        <v>0</v>
      </c>
      <c r="M130" s="8"/>
      <c r="N130" s="8"/>
      <c r="O130" s="8">
        <v>0</v>
      </c>
      <c r="P130" s="8"/>
      <c r="Q130" s="8"/>
    </row>
    <row r="131" spans="5:17" ht="12.75" hidden="1" customHeight="1" x14ac:dyDescent="0.3">
      <c r="E131" s="5" t="s">
        <v>4</v>
      </c>
      <c r="F131" s="8"/>
      <c r="G131" s="8">
        <v>0</v>
      </c>
      <c r="H131" s="8"/>
      <c r="I131" s="8">
        <v>0</v>
      </c>
      <c r="J131" s="8"/>
      <c r="K131" s="8">
        <v>0</v>
      </c>
      <c r="L131" s="8">
        <v>0</v>
      </c>
      <c r="M131" s="8"/>
      <c r="N131" s="8"/>
      <c r="O131" s="8">
        <v>0</v>
      </c>
      <c r="P131" s="8"/>
      <c r="Q131" s="8"/>
    </row>
    <row r="132" spans="5:17" ht="12.75" hidden="1" customHeight="1" x14ac:dyDescent="0.3">
      <c r="E132" s="5" t="s">
        <v>3</v>
      </c>
      <c r="F132" s="8"/>
      <c r="G132" s="8">
        <v>0</v>
      </c>
      <c r="H132" s="8"/>
      <c r="I132" s="8">
        <v>0</v>
      </c>
      <c r="J132" s="8"/>
      <c r="K132" s="8">
        <v>0</v>
      </c>
      <c r="L132" s="8">
        <v>0</v>
      </c>
      <c r="M132" s="8"/>
      <c r="N132" s="8"/>
      <c r="O132" s="8">
        <v>0</v>
      </c>
      <c r="P132" s="8"/>
      <c r="Q132" s="8"/>
    </row>
    <row r="133" spans="5:17" ht="12.75" hidden="1" customHeight="1" x14ac:dyDescent="0.3">
      <c r="E133" s="5" t="s">
        <v>2</v>
      </c>
      <c r="F133" s="8"/>
      <c r="G133" s="8">
        <v>0</v>
      </c>
      <c r="H133" s="8"/>
      <c r="I133" s="8">
        <v>0</v>
      </c>
      <c r="J133" s="8"/>
      <c r="K133" s="8">
        <v>0</v>
      </c>
      <c r="L133" s="8">
        <v>0</v>
      </c>
      <c r="M133" s="8"/>
      <c r="N133" s="8"/>
      <c r="O133" s="8">
        <v>0</v>
      </c>
      <c r="P133" s="8"/>
      <c r="Q133" s="8"/>
    </row>
    <row r="134" spans="5:17" ht="12.75" hidden="1" customHeight="1" x14ac:dyDescent="0.3">
      <c r="E134" s="5" t="s">
        <v>1</v>
      </c>
      <c r="F134" s="8"/>
      <c r="G134" s="8">
        <v>0</v>
      </c>
      <c r="H134" s="8"/>
      <c r="I134" s="8">
        <v>0</v>
      </c>
      <c r="J134" s="8"/>
      <c r="K134" s="8">
        <v>0</v>
      </c>
      <c r="L134" s="8">
        <v>0</v>
      </c>
      <c r="M134" s="8"/>
      <c r="N134" s="8"/>
      <c r="O134" s="8">
        <v>0</v>
      </c>
      <c r="P134" s="8"/>
      <c r="Q134" s="8"/>
    </row>
    <row r="135" spans="5:17" ht="12.75" hidden="1" customHeight="1" x14ac:dyDescent="0.3">
      <c r="E135" s="5" t="s">
        <v>0</v>
      </c>
      <c r="F135" s="8"/>
      <c r="G135" s="8">
        <v>0</v>
      </c>
      <c r="H135" s="8"/>
      <c r="I135" s="8">
        <v>0</v>
      </c>
      <c r="J135" s="8"/>
      <c r="K135" s="8">
        <v>0</v>
      </c>
      <c r="L135" s="8">
        <v>0</v>
      </c>
      <c r="M135" s="8"/>
      <c r="N135" s="8"/>
      <c r="O135" s="8">
        <v>0</v>
      </c>
      <c r="P135" s="8"/>
      <c r="Q135" s="8"/>
    </row>
    <row r="136" spans="5:17" ht="12.75" hidden="1" customHeight="1" x14ac:dyDescent="0.3">
      <c r="E136" s="59"/>
      <c r="F136" s="8"/>
      <c r="G136" s="8">
        <v>0</v>
      </c>
      <c r="H136" s="8"/>
      <c r="I136" s="8">
        <v>0</v>
      </c>
      <c r="J136" s="8"/>
      <c r="K136" s="8">
        <v>0</v>
      </c>
      <c r="L136" s="8">
        <v>0</v>
      </c>
      <c r="M136" s="8"/>
      <c r="N136" s="8"/>
      <c r="O136" s="8">
        <v>0</v>
      </c>
      <c r="P136" s="8"/>
      <c r="Q136" s="8"/>
    </row>
    <row r="137" spans="5:17" ht="12.75" hidden="1" customHeight="1" x14ac:dyDescent="0.3">
      <c r="E137" s="58" t="s">
        <v>33</v>
      </c>
      <c r="F137" s="8"/>
      <c r="G137" s="8">
        <v>0</v>
      </c>
      <c r="H137" s="8"/>
      <c r="I137" s="8">
        <v>0</v>
      </c>
      <c r="J137" s="8"/>
      <c r="K137" s="8">
        <v>0</v>
      </c>
      <c r="L137" s="8">
        <v>0</v>
      </c>
      <c r="M137" s="8"/>
      <c r="N137" s="8"/>
      <c r="O137" s="8">
        <v>0</v>
      </c>
      <c r="P137" s="8"/>
      <c r="Q137" s="8"/>
    </row>
    <row r="138" spans="5:17" ht="12.75" hidden="1" customHeight="1" x14ac:dyDescent="0.3">
      <c r="E138" s="5" t="s">
        <v>44</v>
      </c>
      <c r="F138" s="8"/>
      <c r="G138" s="8">
        <v>0</v>
      </c>
      <c r="H138" s="8"/>
      <c r="I138" s="8">
        <v>0</v>
      </c>
      <c r="J138" s="8"/>
      <c r="K138" s="8">
        <v>0</v>
      </c>
      <c r="L138" s="8">
        <v>0</v>
      </c>
      <c r="M138" s="8"/>
      <c r="N138" s="8"/>
      <c r="O138" s="8">
        <v>0</v>
      </c>
      <c r="P138" s="8"/>
      <c r="Q138" s="8"/>
    </row>
    <row r="139" spans="5:17" ht="12.75" hidden="1" customHeight="1" x14ac:dyDescent="0.3">
      <c r="E139" s="5" t="s">
        <v>39</v>
      </c>
      <c r="F139" s="8"/>
      <c r="G139" s="8">
        <v>0</v>
      </c>
      <c r="H139" s="8"/>
      <c r="I139" s="8">
        <v>0</v>
      </c>
      <c r="J139" s="8"/>
      <c r="K139" s="8">
        <v>0</v>
      </c>
      <c r="L139" s="8">
        <v>0</v>
      </c>
      <c r="M139" s="8"/>
      <c r="N139" s="8"/>
      <c r="O139" s="8">
        <v>0</v>
      </c>
      <c r="P139" s="8"/>
      <c r="Q139" s="8"/>
    </row>
    <row r="140" spans="5:17" ht="12.75" hidden="1" customHeight="1" x14ac:dyDescent="0.3">
      <c r="E140" s="5" t="s">
        <v>14</v>
      </c>
      <c r="F140" s="8"/>
      <c r="G140" s="8">
        <v>0</v>
      </c>
      <c r="H140" s="8"/>
      <c r="I140" s="8">
        <v>0</v>
      </c>
      <c r="J140" s="8"/>
      <c r="K140" s="8">
        <v>0</v>
      </c>
      <c r="L140" s="8">
        <v>0</v>
      </c>
      <c r="M140" s="8"/>
      <c r="N140" s="8"/>
      <c r="O140" s="8">
        <v>0</v>
      </c>
      <c r="P140" s="8"/>
      <c r="Q140" s="8"/>
    </row>
    <row r="141" spans="5:17" ht="12.75" hidden="1" customHeight="1" x14ac:dyDescent="0.3">
      <c r="E141" s="5" t="s">
        <v>13</v>
      </c>
      <c r="F141" s="8"/>
      <c r="G141" s="8">
        <v>0</v>
      </c>
      <c r="H141" s="8"/>
      <c r="I141" s="8">
        <v>0</v>
      </c>
      <c r="J141" s="8"/>
      <c r="K141" s="8">
        <v>0</v>
      </c>
      <c r="L141" s="8">
        <v>0</v>
      </c>
      <c r="M141" s="8"/>
      <c r="N141" s="8"/>
      <c r="O141" s="8">
        <v>0</v>
      </c>
      <c r="P141" s="8"/>
      <c r="Q141" s="8"/>
    </row>
    <row r="142" spans="5:17" ht="12.75" hidden="1" customHeight="1" x14ac:dyDescent="0.3">
      <c r="E142" s="5" t="s">
        <v>12</v>
      </c>
      <c r="F142" s="8"/>
      <c r="G142" s="8">
        <v>0</v>
      </c>
      <c r="H142" s="8"/>
      <c r="I142" s="8">
        <v>0</v>
      </c>
      <c r="J142" s="8"/>
      <c r="K142" s="8">
        <v>0</v>
      </c>
      <c r="L142" s="8">
        <v>0</v>
      </c>
      <c r="M142" s="8"/>
      <c r="N142" s="8"/>
      <c r="O142" s="8">
        <v>0</v>
      </c>
      <c r="P142" s="8"/>
      <c r="Q142" s="8"/>
    </row>
    <row r="143" spans="5:17" x14ac:dyDescent="0.3">
      <c r="E143" s="5" t="s">
        <v>11</v>
      </c>
      <c r="F143" s="8">
        <v>0</v>
      </c>
      <c r="G143" s="8">
        <v>0</v>
      </c>
      <c r="H143" s="8">
        <v>0</v>
      </c>
      <c r="I143" s="8">
        <v>0</v>
      </c>
      <c r="J143" s="8">
        <v>1</v>
      </c>
      <c r="K143" s="8">
        <v>2</v>
      </c>
      <c r="L143" s="8">
        <v>4</v>
      </c>
      <c r="M143" s="8">
        <v>2</v>
      </c>
      <c r="N143" s="8">
        <v>2</v>
      </c>
      <c r="O143" s="8">
        <v>0</v>
      </c>
      <c r="P143" s="64">
        <v>1</v>
      </c>
      <c r="Q143" s="8">
        <v>1</v>
      </c>
    </row>
    <row r="144" spans="5:17" hidden="1" x14ac:dyDescent="0.3">
      <c r="E144" s="5" t="s">
        <v>48</v>
      </c>
      <c r="F144" s="8">
        <v>1</v>
      </c>
      <c r="G144" s="8">
        <v>3</v>
      </c>
      <c r="H144" s="8">
        <v>2</v>
      </c>
      <c r="I144" s="8">
        <v>0</v>
      </c>
      <c r="J144" s="8"/>
      <c r="K144" s="8">
        <v>0</v>
      </c>
      <c r="L144" s="8">
        <v>0</v>
      </c>
      <c r="M144" s="8">
        <v>0</v>
      </c>
      <c r="N144" s="8"/>
      <c r="O144" s="8">
        <v>0</v>
      </c>
      <c r="P144" s="8"/>
      <c r="Q144" s="8"/>
    </row>
    <row r="145" spans="1:17" x14ac:dyDescent="0.3">
      <c r="E145" s="5" t="s">
        <v>47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/>
      <c r="Q145" s="8">
        <v>0</v>
      </c>
    </row>
    <row r="146" spans="1:17" x14ac:dyDescent="0.3">
      <c r="E146" s="5" t="s">
        <v>46</v>
      </c>
      <c r="F146" s="8">
        <v>0</v>
      </c>
      <c r="G146" s="8">
        <v>0</v>
      </c>
      <c r="H146" s="8">
        <v>2</v>
      </c>
      <c r="I146" s="8">
        <v>1</v>
      </c>
      <c r="J146" s="8">
        <v>0</v>
      </c>
      <c r="K146" s="8">
        <v>1</v>
      </c>
      <c r="L146" s="8">
        <v>0</v>
      </c>
      <c r="M146" s="64">
        <v>1</v>
      </c>
      <c r="N146" s="64">
        <v>0</v>
      </c>
      <c r="O146" s="64">
        <v>0</v>
      </c>
      <c r="P146" s="64">
        <v>0</v>
      </c>
      <c r="Q146" s="64">
        <v>1</v>
      </c>
    </row>
    <row r="147" spans="1:17" x14ac:dyDescent="0.3">
      <c r="E147" s="5" t="s">
        <v>6</v>
      </c>
      <c r="F147" s="24">
        <v>35322.359999999993</v>
      </c>
      <c r="G147" s="24">
        <v>46127.14</v>
      </c>
      <c r="H147" s="24">
        <v>56342.149999999972</v>
      </c>
      <c r="I147" s="24">
        <v>71849.119999999937</v>
      </c>
      <c r="J147" s="24">
        <v>96475.79999999993</v>
      </c>
      <c r="K147" s="24">
        <v>135057.55999999994</v>
      </c>
      <c r="L147" s="24">
        <v>159895.10999999981</v>
      </c>
      <c r="M147" s="63">
        <v>178356.04000000007</v>
      </c>
      <c r="N147" s="63">
        <v>198671.83000000002</v>
      </c>
      <c r="O147" s="8">
        <v>218413.57999999996</v>
      </c>
      <c r="P147" s="8">
        <v>234727.7100000002</v>
      </c>
      <c r="Q147" s="8">
        <v>241315.19000000026</v>
      </c>
    </row>
    <row r="148" spans="1:17" x14ac:dyDescent="0.3">
      <c r="E148" s="5" t="s">
        <v>5</v>
      </c>
      <c r="F148" s="24">
        <v>26873.849999999995</v>
      </c>
      <c r="G148" s="24">
        <v>34835.349999999991</v>
      </c>
      <c r="H148" s="24">
        <v>51142.869999999974</v>
      </c>
      <c r="I148" s="24">
        <v>57868.939999999937</v>
      </c>
      <c r="J148" s="24">
        <v>79383.279999999926</v>
      </c>
      <c r="K148" s="24">
        <v>111837.70999999993</v>
      </c>
      <c r="L148" s="24">
        <v>127442.20999999982</v>
      </c>
      <c r="M148" s="63">
        <v>155610.69000000006</v>
      </c>
      <c r="N148" s="63">
        <v>173375.43000000002</v>
      </c>
      <c r="O148" s="8">
        <v>176054.66999999993</v>
      </c>
      <c r="P148" s="8">
        <v>188486.2100000002</v>
      </c>
      <c r="Q148" s="8">
        <v>208621.71000000028</v>
      </c>
    </row>
    <row r="149" spans="1:17" x14ac:dyDescent="0.3">
      <c r="E149" s="5" t="s">
        <v>4</v>
      </c>
      <c r="F149" s="10">
        <f>IFERROR((1-F148/F147),0)</f>
        <v>0.23918305571881382</v>
      </c>
      <c r="G149" s="10">
        <f>IFERROR((1-G148/G147),0)</f>
        <v>0.24479709776066771</v>
      </c>
      <c r="H149" s="10">
        <f>IFERROR((1-H148/H147),0)</f>
        <v>9.2280468530221205E-2</v>
      </c>
      <c r="I149" s="10">
        <f>IFERROR((1-I148/I147),0)</f>
        <v>0.19457691339852201</v>
      </c>
      <c r="J149" s="10">
        <f>IFERROR((1-J148/J147),0)</f>
        <v>0.17716898952898052</v>
      </c>
      <c r="K149" s="10">
        <f>IFERROR((1-K148/K147),0)</f>
        <v>0.17192558491357324</v>
      </c>
      <c r="L149" s="10">
        <f>IFERROR((1-L148/L147),0)</f>
        <v>0.20296368037771784</v>
      </c>
      <c r="M149" s="10">
        <f>IFERROR((1-M148/M147),0)</f>
        <v>0.12752778094871353</v>
      </c>
      <c r="N149" s="10">
        <f>IFERROR((1-N148/N147),0)</f>
        <v>0.12732756324839811</v>
      </c>
      <c r="O149" s="10">
        <f>IFERROR((1-O148/O147),0)</f>
        <v>0.19393899408635695</v>
      </c>
      <c r="P149" s="10">
        <f>IFERROR((1-P148/P147),0)</f>
        <v>0.19700060124984797</v>
      </c>
      <c r="Q149" s="10">
        <f>IFERROR((1-Q148/Q147),0)</f>
        <v>0.13548040635154357</v>
      </c>
    </row>
    <row r="150" spans="1:17" x14ac:dyDescent="0.3">
      <c r="E150" s="5" t="s">
        <v>3</v>
      </c>
      <c r="F150" s="8">
        <v>24</v>
      </c>
      <c r="G150" s="8">
        <v>38</v>
      </c>
      <c r="H150" s="8">
        <v>51</v>
      </c>
      <c r="I150" s="8">
        <v>50</v>
      </c>
      <c r="J150" s="8">
        <v>90</v>
      </c>
      <c r="K150" s="8">
        <v>151</v>
      </c>
      <c r="L150" s="8">
        <v>85</v>
      </c>
      <c r="M150" s="62">
        <v>93</v>
      </c>
      <c r="N150" s="62">
        <v>86</v>
      </c>
      <c r="O150" s="62">
        <v>66</v>
      </c>
      <c r="P150" s="62">
        <v>72</v>
      </c>
      <c r="Q150" s="62">
        <v>88</v>
      </c>
    </row>
    <row r="151" spans="1:17" x14ac:dyDescent="0.3">
      <c r="E151" s="5" t="s">
        <v>2</v>
      </c>
      <c r="F151" s="24">
        <f>F147/F120</f>
        <v>356.79151515151506</v>
      </c>
      <c r="G151" s="24">
        <f>G147/G120</f>
        <v>397.64775862068967</v>
      </c>
      <c r="H151" s="24">
        <f>H147/H120</f>
        <v>349.95124223602465</v>
      </c>
      <c r="I151" s="24">
        <f>IFERROR(I147/I120,0)</f>
        <v>355.68871287128684</v>
      </c>
      <c r="J151" s="24">
        <f>IFERROR(J147/J120,0)</f>
        <v>342.11276595744658</v>
      </c>
      <c r="K151" s="24">
        <f>IFERROR(K147/K120,0)</f>
        <v>322.33307875894974</v>
      </c>
      <c r="L151" s="24">
        <f>IFERROR(L147/L120,0)</f>
        <v>334.50859832635945</v>
      </c>
      <c r="M151" s="24">
        <f>IFERROR(M147/M120,0)</f>
        <v>333.3757757009347</v>
      </c>
      <c r="N151" s="24">
        <f>IFERROR(N147/N120,0)</f>
        <v>340.77500857632936</v>
      </c>
      <c r="O151" s="24">
        <f>IFERROR(O147/O120,0)</f>
        <v>352.84907915993529</v>
      </c>
      <c r="P151" s="24">
        <f>IFERROR(P147/P120,0)</f>
        <v>352.97400000000027</v>
      </c>
      <c r="Q151" s="24">
        <f>IFERROR(Q147/Q120,0)</f>
        <v>350.2397532656027</v>
      </c>
    </row>
    <row r="152" spans="1:17" x14ac:dyDescent="0.3">
      <c r="E152" s="5" t="s">
        <v>1</v>
      </c>
      <c r="F152" s="56">
        <v>1898.7744499999997</v>
      </c>
      <c r="G152" s="8">
        <v>1278.9009500000002</v>
      </c>
      <c r="H152" s="8">
        <v>5664.4512500000001</v>
      </c>
      <c r="I152" s="8">
        <v>7557.1416500000014</v>
      </c>
      <c r="J152" s="8">
        <v>7647.3805499999989</v>
      </c>
      <c r="K152" s="8">
        <v>13854.841649999997</v>
      </c>
      <c r="L152" s="8">
        <v>20554.312299999998</v>
      </c>
      <c r="M152" s="8">
        <v>14996.848400000003</v>
      </c>
      <c r="N152" s="8">
        <v>14620.40345</v>
      </c>
      <c r="O152" s="8">
        <v>14723.498099999999</v>
      </c>
      <c r="P152" s="8">
        <v>10988.946299999994</v>
      </c>
      <c r="Q152" s="8">
        <v>14964.624649999998</v>
      </c>
    </row>
    <row r="153" spans="1:17" x14ac:dyDescent="0.3">
      <c r="E153" s="5" t="s">
        <v>0</v>
      </c>
      <c r="F153" s="8">
        <v>4850</v>
      </c>
      <c r="G153" s="8">
        <v>5550</v>
      </c>
      <c r="H153" s="8">
        <v>23100</v>
      </c>
      <c r="I153" s="8">
        <v>20300</v>
      </c>
      <c r="J153" s="8">
        <v>37200</v>
      </c>
      <c r="K153" s="8">
        <v>24550</v>
      </c>
      <c r="L153" s="8">
        <v>33100</v>
      </c>
      <c r="M153" s="8">
        <v>35700</v>
      </c>
      <c r="N153" s="8">
        <v>35400</v>
      </c>
      <c r="O153" s="8">
        <v>19150</v>
      </c>
      <c r="P153" s="8">
        <v>28260</v>
      </c>
      <c r="Q153" s="8">
        <v>0</v>
      </c>
    </row>
    <row r="154" spans="1:17" ht="3.6" customHeight="1" x14ac:dyDescent="0.3">
      <c r="A154" s="2"/>
      <c r="B154" s="2"/>
      <c r="C154" s="2"/>
      <c r="E154" s="2"/>
      <c r="F154" s="55"/>
      <c r="G154" s="55"/>
      <c r="H154" s="55"/>
      <c r="I154" s="55"/>
      <c r="J154" s="55"/>
      <c r="K154" s="55"/>
      <c r="L154" s="55"/>
      <c r="M154" s="55"/>
      <c r="N154" s="29"/>
      <c r="O154" s="29"/>
      <c r="P154" s="29"/>
      <c r="Q154" s="29"/>
    </row>
    <row r="155" spans="1:17" hidden="1" x14ac:dyDescent="0.3">
      <c r="A155" s="2"/>
      <c r="B155" s="2"/>
      <c r="C155" s="2"/>
      <c r="E155" s="2"/>
      <c r="F155" s="55"/>
      <c r="G155" s="55"/>
      <c r="H155" s="55"/>
      <c r="I155" s="55">
        <f>H158-I161+I188</f>
        <v>127</v>
      </c>
      <c r="J155" s="55">
        <f>I158-J161+J188</f>
        <v>316</v>
      </c>
      <c r="K155" s="55">
        <f>J158-K161+K188</f>
        <v>543</v>
      </c>
      <c r="L155" s="55">
        <f>K158-L161+L188</f>
        <v>688</v>
      </c>
      <c r="M155" s="55">
        <f>L158-M161+M188</f>
        <v>835</v>
      </c>
      <c r="N155" s="55">
        <f>M158-N161+N188</f>
        <v>956</v>
      </c>
      <c r="O155" s="55">
        <f>N158-O161+O188</f>
        <v>1003</v>
      </c>
      <c r="P155" s="55">
        <f>O158-P161+P188</f>
        <v>999</v>
      </c>
      <c r="Q155" s="29"/>
    </row>
    <row r="156" spans="1:17" hidden="1" x14ac:dyDescent="0.3">
      <c r="A156" s="2"/>
      <c r="B156" s="2"/>
      <c r="C156" s="2"/>
      <c r="E156" s="2"/>
      <c r="F156" s="55"/>
      <c r="G156" s="55"/>
      <c r="H156" s="55"/>
      <c r="I156" s="55">
        <f>I158-I155</f>
        <v>2</v>
      </c>
      <c r="J156" s="55">
        <f>J158-J155</f>
        <v>2</v>
      </c>
      <c r="K156" s="55">
        <f>K158-K155</f>
        <v>0</v>
      </c>
      <c r="L156" s="55">
        <f>L158-L155</f>
        <v>3</v>
      </c>
      <c r="M156" s="55">
        <f>M158-M155</f>
        <v>2</v>
      </c>
      <c r="N156" s="55">
        <f>N158-N155</f>
        <v>0</v>
      </c>
      <c r="O156" s="55">
        <f>O158-O155</f>
        <v>1</v>
      </c>
      <c r="P156" s="55">
        <f>P158-P155</f>
        <v>1</v>
      </c>
      <c r="Q156" s="29"/>
    </row>
    <row r="157" spans="1:17" x14ac:dyDescent="0.3">
      <c r="E157" s="54" t="s">
        <v>33</v>
      </c>
      <c r="F157" s="54" t="s">
        <v>32</v>
      </c>
      <c r="G157" s="54" t="s">
        <v>31</v>
      </c>
      <c r="H157" s="54" t="s">
        <v>30</v>
      </c>
      <c r="I157" s="54" t="s">
        <v>29</v>
      </c>
      <c r="J157" s="54" t="s">
        <v>28</v>
      </c>
      <c r="K157" s="54" t="s">
        <v>27</v>
      </c>
      <c r="L157" s="54" t="s">
        <v>26</v>
      </c>
      <c r="M157" s="54" t="s">
        <v>25</v>
      </c>
      <c r="N157" s="54" t="s">
        <v>24</v>
      </c>
      <c r="O157" s="54" t="s">
        <v>23</v>
      </c>
      <c r="P157" s="54" t="s">
        <v>22</v>
      </c>
      <c r="Q157" s="54" t="s">
        <v>21</v>
      </c>
    </row>
    <row r="158" spans="1:17" x14ac:dyDescent="0.3">
      <c r="E158" s="5" t="s">
        <v>19</v>
      </c>
      <c r="F158" s="8">
        <v>0</v>
      </c>
      <c r="G158" s="8">
        <v>0</v>
      </c>
      <c r="H158" s="8">
        <f>SUM(H159:H160)</f>
        <v>1</v>
      </c>
      <c r="I158" s="8">
        <f>SUM(I159:I160)</f>
        <v>129</v>
      </c>
      <c r="J158" s="8">
        <f>SUM(J159:J160)</f>
        <v>318</v>
      </c>
      <c r="K158" s="8">
        <f>SUM(K159:K160)</f>
        <v>543</v>
      </c>
      <c r="L158" s="8">
        <f>SUM(L159:L160)</f>
        <v>691</v>
      </c>
      <c r="M158" s="8">
        <f>SUM(M159:M160)</f>
        <v>837</v>
      </c>
      <c r="N158" s="8">
        <f>SUM(N159:N160)</f>
        <v>956</v>
      </c>
      <c r="O158" s="8">
        <f>SUM(O159:O160)</f>
        <v>1004</v>
      </c>
      <c r="P158" s="8">
        <f>SUM(P159:P160)</f>
        <v>1000</v>
      </c>
      <c r="Q158" s="8">
        <f>SUM(Q159:Q160)</f>
        <v>997</v>
      </c>
    </row>
    <row r="159" spans="1:17" x14ac:dyDescent="0.3">
      <c r="E159" s="14" t="s">
        <v>41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/>
      <c r="N159" s="8"/>
      <c r="O159" s="8"/>
      <c r="P159" s="8"/>
      <c r="Q159" s="8"/>
    </row>
    <row r="160" spans="1:17" x14ac:dyDescent="0.3">
      <c r="E160" s="14" t="s">
        <v>40</v>
      </c>
      <c r="F160" s="8">
        <v>0</v>
      </c>
      <c r="G160" s="8">
        <v>0</v>
      </c>
      <c r="H160" s="8">
        <v>1</v>
      </c>
      <c r="I160" s="8">
        <v>129</v>
      </c>
      <c r="J160" s="8">
        <v>318</v>
      </c>
      <c r="K160" s="8">
        <v>543</v>
      </c>
      <c r="L160" s="8">
        <v>691</v>
      </c>
      <c r="M160" s="62">
        <v>837</v>
      </c>
      <c r="N160" s="62">
        <v>956</v>
      </c>
      <c r="O160" s="62">
        <v>1004</v>
      </c>
      <c r="P160" s="62">
        <v>1000</v>
      </c>
      <c r="Q160" s="62">
        <v>997</v>
      </c>
    </row>
    <row r="161" spans="5:17" x14ac:dyDescent="0.3">
      <c r="E161" s="5" t="s">
        <v>39</v>
      </c>
      <c r="F161" s="8">
        <v>0</v>
      </c>
      <c r="G161" s="8">
        <v>0</v>
      </c>
      <c r="H161" s="8">
        <f>SUM(H164,H165,H181,H182,H183,H184)</f>
        <v>0</v>
      </c>
      <c r="I161" s="8">
        <f>SUM(I164,I165,I181,I182,I183,I184)</f>
        <v>1</v>
      </c>
      <c r="J161" s="8">
        <f>SUM(J164,J165,J181,J182,J183,J184)</f>
        <v>6</v>
      </c>
      <c r="K161" s="8">
        <f>SUM(K164,K165,K181,K182,K183,K184)</f>
        <v>9</v>
      </c>
      <c r="L161" s="8">
        <f>SUM(L164,L165,L181,L182,L183,L184)</f>
        <v>37</v>
      </c>
      <c r="M161" s="8">
        <f>SUM(M164,M165,M181,M182,M183,M184)</f>
        <v>45</v>
      </c>
      <c r="N161" s="8">
        <f>SUM(N164,N165,N181,N182,N183,N184)</f>
        <v>60</v>
      </c>
      <c r="O161" s="8">
        <f>SUM(O164,O165,O181,O182,O183,O184)</f>
        <v>43</v>
      </c>
      <c r="P161" s="8">
        <f>SUM(P164,P165,P181,P182,P183,P184)</f>
        <v>50</v>
      </c>
      <c r="Q161" s="8">
        <f>SUM(Q164,Q165,Q181,Q182,Q183,Q184)</f>
        <v>59</v>
      </c>
    </row>
    <row r="162" spans="5:17" x14ac:dyDescent="0.3">
      <c r="E162" s="5" t="s">
        <v>15</v>
      </c>
      <c r="F162" s="8">
        <v>0</v>
      </c>
      <c r="G162" s="8">
        <v>0</v>
      </c>
      <c r="H162" s="8">
        <v>1</v>
      </c>
      <c r="I162" s="8">
        <v>5</v>
      </c>
      <c r="J162" s="8">
        <v>2</v>
      </c>
      <c r="K162" s="8">
        <v>7</v>
      </c>
      <c r="L162" s="8">
        <v>1</v>
      </c>
      <c r="M162" s="8">
        <v>0</v>
      </c>
      <c r="N162" s="8">
        <v>3</v>
      </c>
      <c r="O162" s="8">
        <v>4</v>
      </c>
      <c r="P162" s="8">
        <v>0</v>
      </c>
      <c r="Q162" s="8">
        <v>1</v>
      </c>
    </row>
    <row r="163" spans="5:17" x14ac:dyDescent="0.3">
      <c r="E163" s="5" t="s">
        <v>14</v>
      </c>
      <c r="F163" s="10">
        <v>0</v>
      </c>
      <c r="G163" s="10">
        <v>0</v>
      </c>
      <c r="H163" s="10">
        <f>IFERROR((H161/G158),0)</f>
        <v>0</v>
      </c>
      <c r="I163" s="10">
        <f>IFERROR((I161/H158),0)</f>
        <v>1</v>
      </c>
      <c r="J163" s="10">
        <f>IFERROR((J161/I158),0)</f>
        <v>4.6511627906976744E-2</v>
      </c>
      <c r="K163" s="10">
        <f>IFERROR((K161/J158),0)</f>
        <v>2.8301886792452831E-2</v>
      </c>
      <c r="L163" s="10">
        <f>IFERROR((L161/K158),0)</f>
        <v>6.8139963167587483E-2</v>
      </c>
      <c r="M163" s="10">
        <f>IFERROR((M161/L158),0)</f>
        <v>6.5123010130246017E-2</v>
      </c>
      <c r="N163" s="10">
        <f>IFERROR((N161/M158),0)</f>
        <v>7.1684587813620068E-2</v>
      </c>
      <c r="O163" s="10">
        <f>IFERROR((O161/N158),0)</f>
        <v>4.4979079497907949E-2</v>
      </c>
      <c r="P163" s="10">
        <f>IFERROR((P161/O158),0)</f>
        <v>4.9800796812749001E-2</v>
      </c>
      <c r="Q163" s="10">
        <f>IFERROR((Q161/P158),0)</f>
        <v>5.8999999999999997E-2</v>
      </c>
    </row>
    <row r="164" spans="5:17" x14ac:dyDescent="0.3">
      <c r="E164" s="5" t="s">
        <v>13</v>
      </c>
      <c r="F164" s="8">
        <v>0</v>
      </c>
      <c r="G164" s="8">
        <v>0</v>
      </c>
      <c r="H164" s="8">
        <v>0</v>
      </c>
      <c r="I164" s="8">
        <v>0</v>
      </c>
      <c r="J164" s="8">
        <v>3</v>
      </c>
      <c r="K164" s="8">
        <v>7</v>
      </c>
      <c r="L164" s="8">
        <v>15</v>
      </c>
      <c r="M164" s="57">
        <v>25</v>
      </c>
      <c r="N164" s="57">
        <v>42</v>
      </c>
      <c r="O164" s="57">
        <v>23</v>
      </c>
      <c r="P164" s="57">
        <v>22</v>
      </c>
      <c r="Q164" s="57">
        <v>30</v>
      </c>
    </row>
    <row r="165" spans="5:17" x14ac:dyDescent="0.3">
      <c r="E165" s="5" t="s">
        <v>12</v>
      </c>
      <c r="F165" s="8">
        <v>0</v>
      </c>
      <c r="G165" s="8">
        <v>0</v>
      </c>
      <c r="H165" s="8">
        <v>0</v>
      </c>
      <c r="I165" s="8">
        <v>1</v>
      </c>
      <c r="J165" s="8">
        <v>2</v>
      </c>
      <c r="K165" s="8">
        <v>1</v>
      </c>
      <c r="L165" s="8">
        <v>20</v>
      </c>
      <c r="M165" s="57">
        <v>19</v>
      </c>
      <c r="N165" s="57">
        <v>15</v>
      </c>
      <c r="O165" s="57">
        <v>16</v>
      </c>
      <c r="P165" s="57">
        <v>23</v>
      </c>
      <c r="Q165" s="57">
        <v>20</v>
      </c>
    </row>
    <row r="166" spans="5:17" ht="12.75" hidden="1" customHeight="1" x14ac:dyDescent="0.3">
      <c r="E166" s="5" t="s">
        <v>11</v>
      </c>
      <c r="F166" s="8"/>
      <c r="G166" s="8"/>
      <c r="H166" s="8"/>
      <c r="I166" s="8">
        <v>0</v>
      </c>
      <c r="J166" s="8"/>
      <c r="K166" s="8">
        <v>0</v>
      </c>
      <c r="L166" s="8">
        <v>0</v>
      </c>
      <c r="M166" s="8">
        <v>0</v>
      </c>
      <c r="N166" s="57"/>
      <c r="O166" s="8"/>
      <c r="P166" s="8"/>
      <c r="Q166" s="8"/>
    </row>
    <row r="167" spans="5:17" ht="12.75" hidden="1" customHeight="1" x14ac:dyDescent="0.3">
      <c r="E167" s="5" t="s">
        <v>6</v>
      </c>
      <c r="F167" s="8"/>
      <c r="G167" s="8"/>
      <c r="H167" s="8"/>
      <c r="I167" s="8">
        <v>0</v>
      </c>
      <c r="J167" s="8"/>
      <c r="K167" s="8">
        <v>0</v>
      </c>
      <c r="L167" s="8">
        <v>0</v>
      </c>
      <c r="M167" s="8">
        <v>0</v>
      </c>
      <c r="N167" s="57"/>
      <c r="O167" s="8"/>
      <c r="P167" s="8"/>
      <c r="Q167" s="8"/>
    </row>
    <row r="168" spans="5:17" ht="12.75" hidden="1" customHeight="1" x14ac:dyDescent="0.3">
      <c r="E168" s="5" t="s">
        <v>5</v>
      </c>
      <c r="F168" s="8"/>
      <c r="G168" s="8"/>
      <c r="H168" s="8"/>
      <c r="I168" s="8">
        <v>0</v>
      </c>
      <c r="J168" s="8"/>
      <c r="K168" s="8">
        <v>0</v>
      </c>
      <c r="L168" s="8">
        <v>0</v>
      </c>
      <c r="M168" s="8">
        <v>0</v>
      </c>
      <c r="N168" s="57"/>
      <c r="O168" s="8"/>
      <c r="P168" s="8"/>
      <c r="Q168" s="8"/>
    </row>
    <row r="169" spans="5:17" ht="12.75" hidden="1" customHeight="1" x14ac:dyDescent="0.3">
      <c r="E169" s="5" t="s">
        <v>4</v>
      </c>
      <c r="F169" s="8"/>
      <c r="G169" s="8"/>
      <c r="H169" s="8"/>
      <c r="I169" s="8">
        <v>0</v>
      </c>
      <c r="J169" s="8"/>
      <c r="K169" s="8">
        <v>0</v>
      </c>
      <c r="L169" s="8">
        <v>0</v>
      </c>
      <c r="M169" s="8">
        <v>0</v>
      </c>
      <c r="N169" s="57"/>
      <c r="O169" s="8"/>
      <c r="P169" s="8"/>
      <c r="Q169" s="8"/>
    </row>
    <row r="170" spans="5:17" ht="12.75" hidden="1" customHeight="1" x14ac:dyDescent="0.3">
      <c r="E170" s="5" t="s">
        <v>3</v>
      </c>
      <c r="F170" s="8"/>
      <c r="G170" s="8"/>
      <c r="H170" s="8"/>
      <c r="I170" s="8">
        <v>0</v>
      </c>
      <c r="J170" s="8"/>
      <c r="K170" s="8">
        <v>0</v>
      </c>
      <c r="L170" s="8">
        <v>0</v>
      </c>
      <c r="M170" s="8">
        <v>0</v>
      </c>
      <c r="N170" s="57"/>
      <c r="O170" s="8"/>
      <c r="P170" s="8"/>
      <c r="Q170" s="8"/>
    </row>
    <row r="171" spans="5:17" ht="12.75" hidden="1" customHeight="1" x14ac:dyDescent="0.3">
      <c r="E171" s="5" t="s">
        <v>2</v>
      </c>
      <c r="F171" s="8"/>
      <c r="G171" s="8"/>
      <c r="H171" s="8"/>
      <c r="I171" s="8">
        <v>0</v>
      </c>
      <c r="J171" s="8"/>
      <c r="K171" s="8">
        <v>0</v>
      </c>
      <c r="L171" s="8">
        <v>0</v>
      </c>
      <c r="M171" s="8">
        <v>0</v>
      </c>
      <c r="N171" s="57"/>
      <c r="O171" s="8"/>
      <c r="P171" s="8"/>
      <c r="Q171" s="8"/>
    </row>
    <row r="172" spans="5:17" ht="12.75" hidden="1" customHeight="1" x14ac:dyDescent="0.3">
      <c r="E172" s="5" t="s">
        <v>1</v>
      </c>
      <c r="F172" s="8"/>
      <c r="G172" s="8"/>
      <c r="H172" s="8"/>
      <c r="I172" s="8">
        <v>0</v>
      </c>
      <c r="J172" s="8"/>
      <c r="K172" s="8">
        <v>0</v>
      </c>
      <c r="L172" s="8">
        <v>0</v>
      </c>
      <c r="M172" s="8">
        <v>0</v>
      </c>
      <c r="N172" s="57"/>
      <c r="O172" s="8"/>
      <c r="P172" s="8"/>
      <c r="Q172" s="8"/>
    </row>
    <row r="173" spans="5:17" ht="12.75" hidden="1" customHeight="1" x14ac:dyDescent="0.3">
      <c r="E173" s="5" t="s">
        <v>0</v>
      </c>
      <c r="F173" s="8"/>
      <c r="G173" s="8"/>
      <c r="H173" s="8"/>
      <c r="I173" s="8">
        <v>0</v>
      </c>
      <c r="J173" s="8"/>
      <c r="K173" s="8">
        <v>0</v>
      </c>
      <c r="L173" s="8">
        <v>0</v>
      </c>
      <c r="M173" s="8">
        <v>0</v>
      </c>
      <c r="N173" s="57"/>
      <c r="O173" s="8"/>
      <c r="P173" s="8"/>
      <c r="Q173" s="8"/>
    </row>
    <row r="174" spans="5:17" ht="12.75" hidden="1" customHeight="1" x14ac:dyDescent="0.3">
      <c r="E174" s="59"/>
      <c r="F174" s="8"/>
      <c r="G174" s="8"/>
      <c r="H174" s="8"/>
      <c r="I174" s="8">
        <v>0</v>
      </c>
      <c r="J174" s="8"/>
      <c r="K174" s="8">
        <v>0</v>
      </c>
      <c r="L174" s="8">
        <v>0</v>
      </c>
      <c r="M174" s="8">
        <v>0</v>
      </c>
      <c r="N174" s="57"/>
      <c r="O174" s="8"/>
      <c r="P174" s="8"/>
      <c r="Q174" s="8"/>
    </row>
    <row r="175" spans="5:17" ht="12.75" hidden="1" customHeight="1" x14ac:dyDescent="0.3">
      <c r="E175" s="58" t="s">
        <v>33</v>
      </c>
      <c r="F175" s="8"/>
      <c r="G175" s="8"/>
      <c r="H175" s="8"/>
      <c r="I175" s="8">
        <v>0</v>
      </c>
      <c r="J175" s="8"/>
      <c r="K175" s="8">
        <v>0</v>
      </c>
      <c r="L175" s="8">
        <v>0</v>
      </c>
      <c r="M175" s="8">
        <v>0</v>
      </c>
      <c r="N175" s="57"/>
      <c r="O175" s="8"/>
      <c r="P175" s="8"/>
      <c r="Q175" s="8"/>
    </row>
    <row r="176" spans="5:17" ht="12.75" hidden="1" customHeight="1" x14ac:dyDescent="0.3">
      <c r="E176" s="5" t="s">
        <v>44</v>
      </c>
      <c r="F176" s="8"/>
      <c r="G176" s="8"/>
      <c r="H176" s="8"/>
      <c r="I176" s="8">
        <v>0</v>
      </c>
      <c r="J176" s="8"/>
      <c r="K176" s="8">
        <v>0</v>
      </c>
      <c r="L176" s="8">
        <v>0</v>
      </c>
      <c r="M176" s="8">
        <v>0</v>
      </c>
      <c r="N176" s="57"/>
      <c r="O176" s="8"/>
      <c r="P176" s="8"/>
      <c r="Q176" s="8"/>
    </row>
    <row r="177" spans="1:17" ht="12.75" hidden="1" customHeight="1" x14ac:dyDescent="0.3">
      <c r="E177" s="5" t="s">
        <v>39</v>
      </c>
      <c r="F177" s="8"/>
      <c r="G177" s="8"/>
      <c r="H177" s="8"/>
      <c r="I177" s="8">
        <v>0</v>
      </c>
      <c r="J177" s="8"/>
      <c r="K177" s="8">
        <v>0</v>
      </c>
      <c r="L177" s="8">
        <v>0</v>
      </c>
      <c r="M177" s="8">
        <v>0</v>
      </c>
      <c r="N177" s="57"/>
      <c r="O177" s="8"/>
      <c r="P177" s="8"/>
      <c r="Q177" s="8"/>
    </row>
    <row r="178" spans="1:17" ht="12.75" hidden="1" customHeight="1" x14ac:dyDescent="0.3">
      <c r="E178" s="5" t="s">
        <v>14</v>
      </c>
      <c r="F178" s="8"/>
      <c r="G178" s="8"/>
      <c r="H178" s="8"/>
      <c r="I178" s="8">
        <v>0</v>
      </c>
      <c r="J178" s="8"/>
      <c r="K178" s="8">
        <v>0</v>
      </c>
      <c r="L178" s="8">
        <v>0</v>
      </c>
      <c r="M178" s="8">
        <v>0</v>
      </c>
      <c r="N178" s="57"/>
      <c r="O178" s="8"/>
      <c r="P178" s="8"/>
      <c r="Q178" s="8"/>
    </row>
    <row r="179" spans="1:17" ht="12.75" hidden="1" customHeight="1" x14ac:dyDescent="0.3">
      <c r="E179" s="5" t="s">
        <v>13</v>
      </c>
      <c r="F179" s="8"/>
      <c r="G179" s="8"/>
      <c r="H179" s="8"/>
      <c r="I179" s="8">
        <v>0</v>
      </c>
      <c r="J179" s="8"/>
      <c r="K179" s="8">
        <v>0</v>
      </c>
      <c r="L179" s="8">
        <v>0</v>
      </c>
      <c r="M179" s="8">
        <v>0</v>
      </c>
      <c r="N179" s="57"/>
      <c r="O179" s="8"/>
      <c r="P179" s="8"/>
      <c r="Q179" s="8"/>
    </row>
    <row r="180" spans="1:17" ht="12.75" hidden="1" customHeight="1" x14ac:dyDescent="0.3">
      <c r="E180" s="5" t="s">
        <v>12</v>
      </c>
      <c r="F180" s="8"/>
      <c r="G180" s="8"/>
      <c r="H180" s="8"/>
      <c r="I180" s="8">
        <v>0</v>
      </c>
      <c r="J180" s="8"/>
      <c r="K180" s="8">
        <v>0</v>
      </c>
      <c r="L180" s="8">
        <v>0</v>
      </c>
      <c r="M180" s="8">
        <v>0</v>
      </c>
      <c r="N180" s="57"/>
      <c r="O180" s="8"/>
      <c r="P180" s="8"/>
      <c r="Q180" s="8"/>
    </row>
    <row r="181" spans="1:17" x14ac:dyDescent="0.3">
      <c r="E181" s="5" t="s">
        <v>11</v>
      </c>
      <c r="F181" s="8">
        <v>0</v>
      </c>
      <c r="G181" s="8">
        <v>0</v>
      </c>
      <c r="H181" s="8">
        <v>0</v>
      </c>
      <c r="I181" s="8">
        <v>0</v>
      </c>
      <c r="J181" s="8">
        <v>1</v>
      </c>
      <c r="K181" s="8">
        <v>1</v>
      </c>
      <c r="L181" s="8">
        <v>2</v>
      </c>
      <c r="M181" s="8">
        <v>0</v>
      </c>
      <c r="N181" s="57">
        <v>1</v>
      </c>
      <c r="O181" s="8"/>
      <c r="P181" s="57">
        <v>4</v>
      </c>
      <c r="Q181" s="8">
        <v>0</v>
      </c>
    </row>
    <row r="182" spans="1:17" hidden="1" x14ac:dyDescent="0.3">
      <c r="E182" s="5" t="s">
        <v>48</v>
      </c>
      <c r="F182" s="8">
        <v>0</v>
      </c>
      <c r="G182" s="8">
        <v>0</v>
      </c>
      <c r="H182" s="8">
        <v>0</v>
      </c>
      <c r="I182" s="8">
        <v>0</v>
      </c>
      <c r="J182" s="8"/>
      <c r="K182" s="8">
        <v>0</v>
      </c>
      <c r="L182" s="8">
        <v>0</v>
      </c>
      <c r="M182" s="8">
        <v>0</v>
      </c>
      <c r="N182" s="57"/>
      <c r="O182" s="8"/>
      <c r="P182" s="8"/>
      <c r="Q182" s="8"/>
    </row>
    <row r="183" spans="1:17" x14ac:dyDescent="0.3">
      <c r="E183" s="5" t="s">
        <v>47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8">
        <v>0</v>
      </c>
      <c r="M183" s="8">
        <v>0</v>
      </c>
      <c r="N183" s="57">
        <v>0</v>
      </c>
      <c r="O183" s="8"/>
      <c r="P183" s="8"/>
      <c r="Q183" s="8">
        <v>0</v>
      </c>
    </row>
    <row r="184" spans="1:17" x14ac:dyDescent="0.3">
      <c r="E184" s="5" t="s">
        <v>46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57">
        <v>1</v>
      </c>
      <c r="N184" s="57">
        <v>2</v>
      </c>
      <c r="O184" s="57">
        <v>4</v>
      </c>
      <c r="P184" s="57">
        <v>1</v>
      </c>
      <c r="Q184" s="57">
        <v>9</v>
      </c>
    </row>
    <row r="185" spans="1:17" x14ac:dyDescent="0.3">
      <c r="E185" s="5" t="s">
        <v>6</v>
      </c>
      <c r="F185" s="24">
        <v>0</v>
      </c>
      <c r="G185" s="24">
        <v>0</v>
      </c>
      <c r="H185" s="24">
        <v>886.41</v>
      </c>
      <c r="I185" s="24">
        <v>80665.53999999995</v>
      </c>
      <c r="J185" s="24">
        <v>164303.82999999987</v>
      </c>
      <c r="K185" s="24">
        <v>273944.4500000003</v>
      </c>
      <c r="L185" s="24">
        <v>439379.97999999934</v>
      </c>
      <c r="M185" s="63">
        <v>537737.38999999862</v>
      </c>
      <c r="N185" s="63">
        <v>613054.76999999932</v>
      </c>
      <c r="O185" s="8">
        <v>650814.67999999912</v>
      </c>
      <c r="P185" s="8">
        <v>653098.79</v>
      </c>
      <c r="Q185" s="8">
        <v>666586.94000000018</v>
      </c>
    </row>
    <row r="186" spans="1:17" x14ac:dyDescent="0.3">
      <c r="E186" s="5" t="s">
        <v>5</v>
      </c>
      <c r="F186" s="24">
        <v>0</v>
      </c>
      <c r="G186" s="24">
        <v>0</v>
      </c>
      <c r="H186" s="24">
        <v>886.41</v>
      </c>
      <c r="I186" s="24">
        <v>77085.499999999956</v>
      </c>
      <c r="J186" s="24">
        <v>148647.62999999986</v>
      </c>
      <c r="K186" s="24">
        <v>246740.21000000031</v>
      </c>
      <c r="L186" s="24">
        <v>383725.38999999932</v>
      </c>
      <c r="M186" s="63">
        <v>488188.97999999864</v>
      </c>
      <c r="N186" s="63">
        <v>556913.79999999923</v>
      </c>
      <c r="O186" s="8">
        <v>584843.23999999906</v>
      </c>
      <c r="P186" s="8">
        <v>581463.87</v>
      </c>
      <c r="Q186" s="8">
        <v>604472.38000000012</v>
      </c>
    </row>
    <row r="187" spans="1:17" x14ac:dyDescent="0.3">
      <c r="E187" s="5" t="s">
        <v>4</v>
      </c>
      <c r="F187" s="10">
        <f>IFERROR((1-F186/F185),0)</f>
        <v>0</v>
      </c>
      <c r="G187" s="10">
        <f>IFERROR((1-G186/G185),0)</f>
        <v>0</v>
      </c>
      <c r="H187" s="10">
        <f>IFERROR((1-H186/H185),0)</f>
        <v>0</v>
      </c>
      <c r="I187" s="10">
        <f>IFERROR((1-I186/I185),0)</f>
        <v>4.4381281027809361E-2</v>
      </c>
      <c r="J187" s="10">
        <f>IFERROR((1-J186/J185),0)</f>
        <v>9.5288101318149576E-2</v>
      </c>
      <c r="K187" s="10">
        <f>IFERROR((1-K186/K185),0)</f>
        <v>9.9305680403453889E-2</v>
      </c>
      <c r="L187" s="10">
        <f>IFERROR((1-L186/L185),0)</f>
        <v>0.12666619448614869</v>
      </c>
      <c r="M187" s="10">
        <f>IFERROR((1-M186/M185),0)</f>
        <v>9.2142393148447632E-2</v>
      </c>
      <c r="N187" s="10">
        <f>IFERROR((1-N186/N185),0)</f>
        <v>9.1575782046358079E-2</v>
      </c>
      <c r="O187" s="10">
        <f>IFERROR((1-O186/O185),0)</f>
        <v>0.1013674737638065</v>
      </c>
      <c r="P187" s="10">
        <f>IFERROR((1-P186/P185),0)</f>
        <v>0.10968466194830961</v>
      </c>
      <c r="Q187" s="10">
        <f>IFERROR((1-Q186/Q185),0)</f>
        <v>9.3182983753027138E-2</v>
      </c>
    </row>
    <row r="188" spans="1:17" x14ac:dyDescent="0.3">
      <c r="E188" s="5" t="s">
        <v>3</v>
      </c>
      <c r="F188" s="8">
        <v>0</v>
      </c>
      <c r="G188" s="8">
        <v>0</v>
      </c>
      <c r="H188" s="8">
        <v>1</v>
      </c>
      <c r="I188" s="8">
        <v>127</v>
      </c>
      <c r="J188" s="8">
        <v>193</v>
      </c>
      <c r="K188" s="8">
        <v>234</v>
      </c>
      <c r="L188" s="8">
        <v>182</v>
      </c>
      <c r="M188" s="62">
        <v>189</v>
      </c>
      <c r="N188" s="62">
        <v>179</v>
      </c>
      <c r="O188" s="62">
        <v>90</v>
      </c>
      <c r="P188" s="62">
        <v>45</v>
      </c>
      <c r="Q188" s="62">
        <v>53</v>
      </c>
    </row>
    <row r="189" spans="1:17" x14ac:dyDescent="0.3">
      <c r="E189" s="5" t="s">
        <v>2</v>
      </c>
      <c r="F189" s="24">
        <v>0</v>
      </c>
      <c r="G189" s="24">
        <v>0</v>
      </c>
      <c r="H189" s="24">
        <f>IFERROR(H185/H158,0)</f>
        <v>886.41</v>
      </c>
      <c r="I189" s="24">
        <f>IFERROR(I185/I158,0)</f>
        <v>625.31426356589111</v>
      </c>
      <c r="J189" s="24">
        <f>IFERROR(J185/J158,0)</f>
        <v>516.67871069182354</v>
      </c>
      <c r="K189" s="24">
        <f>IFERROR(K185/K158,0)</f>
        <v>504.50174953959538</v>
      </c>
      <c r="L189" s="24">
        <f>IFERROR(L185/L158,0)</f>
        <v>635.86104196816109</v>
      </c>
      <c r="M189" s="24">
        <f>IFERROR(M185/M158,0)</f>
        <v>642.45805256869608</v>
      </c>
      <c r="N189" s="24">
        <f>IFERROR(N185/N158,0)</f>
        <v>641.27067991631725</v>
      </c>
      <c r="O189" s="24">
        <f>IFERROR(O185/O158,0)</f>
        <v>648.22179282868433</v>
      </c>
      <c r="P189" s="24">
        <f>IFERROR(P185/P158,0)</f>
        <v>653.09879000000001</v>
      </c>
      <c r="Q189" s="24">
        <f>IFERROR(Q185/Q158,0)</f>
        <v>668.59271815446357</v>
      </c>
    </row>
    <row r="190" spans="1:17" x14ac:dyDescent="0.3">
      <c r="E190" s="5" t="s">
        <v>1</v>
      </c>
      <c r="F190" s="56">
        <v>0</v>
      </c>
      <c r="G190" s="56">
        <v>0</v>
      </c>
      <c r="H190" s="8">
        <v>0</v>
      </c>
      <c r="I190" s="8">
        <v>1208.0280000000002</v>
      </c>
      <c r="J190" s="8">
        <v>11733.811800000003</v>
      </c>
      <c r="K190" s="8">
        <v>16267.559850000001</v>
      </c>
      <c r="L190" s="8">
        <v>20669.333349999997</v>
      </c>
      <c r="M190" s="8">
        <v>46476.577800000021</v>
      </c>
      <c r="N190" s="8">
        <v>49535.256699999998</v>
      </c>
      <c r="O190" s="8">
        <v>43882.750300000007</v>
      </c>
      <c r="P190" s="8">
        <v>29474.151549999991</v>
      </c>
      <c r="Q190" s="8">
        <v>20287.900549999988</v>
      </c>
    </row>
    <row r="191" spans="1:17" ht="15" customHeight="1" x14ac:dyDescent="0.3">
      <c r="E191" s="5" t="s">
        <v>0</v>
      </c>
      <c r="F191" s="8">
        <v>0</v>
      </c>
      <c r="G191" s="8">
        <v>0</v>
      </c>
      <c r="H191" s="8">
        <v>3610</v>
      </c>
      <c r="I191" s="8">
        <v>85890</v>
      </c>
      <c r="J191" s="8">
        <v>133150</v>
      </c>
      <c r="K191" s="8">
        <v>92820</v>
      </c>
      <c r="L191" s="8">
        <v>111260</v>
      </c>
      <c r="M191" s="8">
        <v>129250</v>
      </c>
      <c r="N191" s="8">
        <v>112910</v>
      </c>
      <c r="O191" s="8">
        <v>49650</v>
      </c>
      <c r="P191" s="8">
        <v>32100</v>
      </c>
      <c r="Q191" s="8">
        <v>0</v>
      </c>
    </row>
    <row r="192" spans="1:17" ht="1.2" customHeight="1" x14ac:dyDescent="0.3">
      <c r="A192" s="2"/>
      <c r="B192" s="2"/>
      <c r="C192" s="2"/>
      <c r="E192" s="2"/>
      <c r="F192" s="55"/>
      <c r="G192" s="55"/>
      <c r="H192" s="55"/>
      <c r="I192" s="61"/>
      <c r="J192" s="55"/>
      <c r="K192" s="60"/>
      <c r="L192" s="29"/>
      <c r="M192" s="29"/>
      <c r="N192" s="29"/>
      <c r="O192" s="29"/>
      <c r="P192" s="29"/>
      <c r="Q192" s="29"/>
    </row>
    <row r="193" spans="1:17" ht="1.2" customHeight="1" x14ac:dyDescent="0.3">
      <c r="A193" s="2"/>
      <c r="B193" s="2"/>
      <c r="C193" s="2"/>
      <c r="E193" s="2"/>
      <c r="F193" s="55"/>
      <c r="G193" s="55"/>
      <c r="H193" s="55"/>
      <c r="I193" s="61"/>
      <c r="J193" s="55"/>
      <c r="K193" s="60"/>
      <c r="L193" s="29"/>
      <c r="M193" s="29"/>
      <c r="N193" s="29"/>
      <c r="O193" s="29"/>
      <c r="P193" s="29"/>
      <c r="Q193" s="29"/>
    </row>
    <row r="194" spans="1:17" x14ac:dyDescent="0.3">
      <c r="E194" s="54" t="s">
        <v>33</v>
      </c>
      <c r="F194" s="54" t="s">
        <v>32</v>
      </c>
      <c r="G194" s="54" t="s">
        <v>31</v>
      </c>
      <c r="H194" s="54" t="s">
        <v>30</v>
      </c>
      <c r="I194" s="54" t="s">
        <v>29</v>
      </c>
      <c r="J194" s="54" t="s">
        <v>28</v>
      </c>
      <c r="K194" s="54" t="s">
        <v>27</v>
      </c>
      <c r="L194" s="54" t="s">
        <v>26</v>
      </c>
      <c r="M194" s="54" t="s">
        <v>25</v>
      </c>
      <c r="N194" s="54" t="s">
        <v>24</v>
      </c>
      <c r="O194" s="54" t="s">
        <v>23</v>
      </c>
      <c r="P194" s="54" t="s">
        <v>22</v>
      </c>
      <c r="Q194" s="54" t="s">
        <v>21</v>
      </c>
    </row>
    <row r="195" spans="1:17" x14ac:dyDescent="0.3">
      <c r="E195" s="5" t="s">
        <v>19</v>
      </c>
      <c r="F195" s="8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f>SUM(N196:N197)</f>
        <v>7</v>
      </c>
      <c r="O195" s="8">
        <f>SUM(O196:O197)</f>
        <v>10</v>
      </c>
      <c r="P195" s="8">
        <f>SUM(P196:P197)</f>
        <v>10</v>
      </c>
      <c r="Q195" s="8">
        <f>SUM(Q196:Q197)</f>
        <v>16</v>
      </c>
    </row>
    <row r="196" spans="1:17" x14ac:dyDescent="0.3">
      <c r="E196" s="14" t="s">
        <v>41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/>
      <c r="O196" s="8"/>
      <c r="P196" s="8"/>
      <c r="Q196" s="8"/>
    </row>
    <row r="197" spans="1:17" x14ac:dyDescent="0.3">
      <c r="E197" s="14" t="s">
        <v>40</v>
      </c>
      <c r="F197" s="8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18">
        <v>7</v>
      </c>
      <c r="O197" s="8">
        <v>10</v>
      </c>
      <c r="P197" s="8">
        <v>10</v>
      </c>
      <c r="Q197" s="8">
        <v>16</v>
      </c>
    </row>
    <row r="198" spans="1:17" x14ac:dyDescent="0.3">
      <c r="E198" s="5" t="s">
        <v>39</v>
      </c>
      <c r="F198" s="8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f>SUM(N201,N202,N218,N219,N220,N221)</f>
        <v>0</v>
      </c>
      <c r="O198" s="8">
        <f>SUM(O201,O202,O218,O219,O220,O221)</f>
        <v>0</v>
      </c>
      <c r="P198" s="8">
        <f>SUM(P201,P202,P218,P219,P220,P221)</f>
        <v>0</v>
      </c>
      <c r="Q198" s="8">
        <f>SUM(Q201,Q202,Q218,Q219,Q220,Q221)</f>
        <v>0</v>
      </c>
    </row>
    <row r="199" spans="1:17" x14ac:dyDescent="0.3">
      <c r="E199" s="5" t="s">
        <v>15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8">
        <v>4</v>
      </c>
      <c r="O199" s="8">
        <v>0</v>
      </c>
      <c r="P199" s="8">
        <v>3</v>
      </c>
      <c r="Q199" s="8">
        <v>4</v>
      </c>
    </row>
    <row r="200" spans="1:17" x14ac:dyDescent="0.3">
      <c r="E200" s="5" t="s">
        <v>14</v>
      </c>
      <c r="F200" s="10">
        <v>0</v>
      </c>
      <c r="G200" s="10">
        <v>0</v>
      </c>
      <c r="H200" s="10">
        <v>0</v>
      </c>
      <c r="I200" s="10">
        <v>0</v>
      </c>
      <c r="J200" s="10">
        <v>0</v>
      </c>
      <c r="K200" s="10">
        <v>0</v>
      </c>
      <c r="L200" s="10">
        <v>0</v>
      </c>
      <c r="M200" s="10">
        <v>0</v>
      </c>
      <c r="N200" s="10">
        <f>IFERROR((N198/M195),0)</f>
        <v>0</v>
      </c>
      <c r="O200" s="10">
        <f>IFERROR((O198/N195),0)</f>
        <v>0</v>
      </c>
      <c r="P200" s="10">
        <f>IFERROR((P198/O195),0)</f>
        <v>0</v>
      </c>
      <c r="Q200" s="10">
        <f>IFERROR((Q198/P195),0)</f>
        <v>0</v>
      </c>
    </row>
    <row r="201" spans="1:17" x14ac:dyDescent="0.3">
      <c r="E201" s="5" t="s">
        <v>13</v>
      </c>
      <c r="F201" s="8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/>
      <c r="Q201" s="8"/>
    </row>
    <row r="202" spans="1:17" x14ac:dyDescent="0.3">
      <c r="E202" s="5" t="s">
        <v>12</v>
      </c>
      <c r="F202" s="8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/>
      <c r="Q202" s="8"/>
    </row>
    <row r="203" spans="1:17" ht="12.75" hidden="1" customHeight="1" x14ac:dyDescent="0.3">
      <c r="E203" s="5" t="s">
        <v>11</v>
      </c>
      <c r="F203" s="8"/>
      <c r="G203" s="8"/>
      <c r="H203" s="8"/>
      <c r="I203" s="8"/>
      <c r="J203" s="8"/>
      <c r="K203" s="8"/>
      <c r="L203" s="8"/>
      <c r="M203" s="8"/>
      <c r="N203" s="8"/>
      <c r="O203" s="8">
        <v>0</v>
      </c>
      <c r="P203" s="8"/>
      <c r="Q203" s="8"/>
    </row>
    <row r="204" spans="1:17" ht="12.75" hidden="1" customHeight="1" x14ac:dyDescent="0.3">
      <c r="E204" s="5" t="s">
        <v>6</v>
      </c>
      <c r="F204" s="8"/>
      <c r="G204" s="8"/>
      <c r="H204" s="8"/>
      <c r="I204" s="8"/>
      <c r="J204" s="8"/>
      <c r="K204" s="8"/>
      <c r="L204" s="8"/>
      <c r="M204" s="8"/>
      <c r="N204" s="8"/>
      <c r="O204" s="8">
        <v>0</v>
      </c>
      <c r="P204" s="8"/>
      <c r="Q204" s="8"/>
    </row>
    <row r="205" spans="1:17" ht="12.75" hidden="1" customHeight="1" x14ac:dyDescent="0.3">
      <c r="E205" s="5" t="s">
        <v>5</v>
      </c>
      <c r="F205" s="8"/>
      <c r="G205" s="8"/>
      <c r="H205" s="8"/>
      <c r="I205" s="8"/>
      <c r="J205" s="8"/>
      <c r="K205" s="8"/>
      <c r="L205" s="8"/>
      <c r="M205" s="8"/>
      <c r="N205" s="8"/>
      <c r="O205" s="8">
        <v>0</v>
      </c>
      <c r="P205" s="8"/>
      <c r="Q205" s="8"/>
    </row>
    <row r="206" spans="1:17" ht="12.75" hidden="1" customHeight="1" x14ac:dyDescent="0.3">
      <c r="E206" s="5" t="s">
        <v>4</v>
      </c>
      <c r="F206" s="8"/>
      <c r="G206" s="8"/>
      <c r="H206" s="8"/>
      <c r="I206" s="8"/>
      <c r="J206" s="8"/>
      <c r="K206" s="8"/>
      <c r="L206" s="8"/>
      <c r="M206" s="8"/>
      <c r="N206" s="8"/>
      <c r="O206" s="8">
        <v>0</v>
      </c>
      <c r="P206" s="8"/>
      <c r="Q206" s="8"/>
    </row>
    <row r="207" spans="1:17" ht="12.75" hidden="1" customHeight="1" x14ac:dyDescent="0.3">
      <c r="E207" s="5" t="s">
        <v>3</v>
      </c>
      <c r="F207" s="8"/>
      <c r="G207" s="8"/>
      <c r="H207" s="8"/>
      <c r="I207" s="8"/>
      <c r="J207" s="8"/>
      <c r="K207" s="8"/>
      <c r="L207" s="8"/>
      <c r="M207" s="8"/>
      <c r="N207" s="8"/>
      <c r="O207" s="8">
        <v>0</v>
      </c>
      <c r="P207" s="8"/>
      <c r="Q207" s="8"/>
    </row>
    <row r="208" spans="1:17" ht="12.75" hidden="1" customHeight="1" x14ac:dyDescent="0.3">
      <c r="E208" s="5" t="s">
        <v>2</v>
      </c>
      <c r="F208" s="8"/>
      <c r="G208" s="8"/>
      <c r="H208" s="8"/>
      <c r="I208" s="8"/>
      <c r="J208" s="8"/>
      <c r="K208" s="8"/>
      <c r="L208" s="8"/>
      <c r="M208" s="8"/>
      <c r="N208" s="8"/>
      <c r="O208" s="8">
        <v>0</v>
      </c>
      <c r="P208" s="8"/>
      <c r="Q208" s="8"/>
    </row>
    <row r="209" spans="5:17" ht="12.75" hidden="1" customHeight="1" x14ac:dyDescent="0.3">
      <c r="E209" s="5" t="s">
        <v>1</v>
      </c>
      <c r="F209" s="8"/>
      <c r="G209" s="8"/>
      <c r="H209" s="8"/>
      <c r="I209" s="8"/>
      <c r="J209" s="8"/>
      <c r="K209" s="8"/>
      <c r="L209" s="8"/>
      <c r="M209" s="8"/>
      <c r="N209" s="8"/>
      <c r="O209" s="8">
        <v>0</v>
      </c>
      <c r="P209" s="8"/>
      <c r="Q209" s="8"/>
    </row>
    <row r="210" spans="5:17" ht="12.75" hidden="1" customHeight="1" x14ac:dyDescent="0.3">
      <c r="E210" s="5" t="s">
        <v>0</v>
      </c>
      <c r="F210" s="8"/>
      <c r="G210" s="8"/>
      <c r="H210" s="8"/>
      <c r="I210" s="8"/>
      <c r="J210" s="8"/>
      <c r="K210" s="8"/>
      <c r="L210" s="8"/>
      <c r="M210" s="8"/>
      <c r="N210" s="8"/>
      <c r="O210" s="8">
        <v>0</v>
      </c>
      <c r="P210" s="8"/>
      <c r="Q210" s="8"/>
    </row>
    <row r="211" spans="5:17" ht="12.75" hidden="1" customHeight="1" x14ac:dyDescent="0.3">
      <c r="E211" s="59"/>
      <c r="F211" s="8"/>
      <c r="G211" s="8"/>
      <c r="H211" s="8"/>
      <c r="I211" s="8"/>
      <c r="J211" s="8"/>
      <c r="K211" s="8"/>
      <c r="L211" s="8"/>
      <c r="M211" s="8"/>
      <c r="N211" s="8"/>
      <c r="O211" s="8">
        <v>0</v>
      </c>
      <c r="P211" s="8"/>
      <c r="Q211" s="8"/>
    </row>
    <row r="212" spans="5:17" ht="12.75" hidden="1" customHeight="1" x14ac:dyDescent="0.3">
      <c r="E212" s="58" t="s">
        <v>33</v>
      </c>
      <c r="F212" s="8"/>
      <c r="G212" s="8"/>
      <c r="H212" s="8"/>
      <c r="I212" s="8"/>
      <c r="J212" s="8"/>
      <c r="K212" s="8"/>
      <c r="L212" s="8"/>
      <c r="M212" s="8"/>
      <c r="N212" s="8"/>
      <c r="O212" s="8">
        <v>0</v>
      </c>
      <c r="P212" s="8"/>
      <c r="Q212" s="8"/>
    </row>
    <row r="213" spans="5:17" ht="12.75" hidden="1" customHeight="1" x14ac:dyDescent="0.3">
      <c r="E213" s="5" t="s">
        <v>44</v>
      </c>
      <c r="F213" s="8"/>
      <c r="G213" s="8"/>
      <c r="H213" s="8"/>
      <c r="I213" s="8"/>
      <c r="J213" s="8"/>
      <c r="K213" s="8"/>
      <c r="L213" s="8"/>
      <c r="M213" s="8"/>
      <c r="N213" s="8"/>
      <c r="O213" s="8">
        <v>0</v>
      </c>
      <c r="P213" s="8"/>
      <c r="Q213" s="8"/>
    </row>
    <row r="214" spans="5:17" ht="12.75" hidden="1" customHeight="1" x14ac:dyDescent="0.3">
      <c r="E214" s="5" t="s">
        <v>39</v>
      </c>
      <c r="F214" s="8"/>
      <c r="G214" s="8"/>
      <c r="H214" s="8"/>
      <c r="I214" s="8"/>
      <c r="J214" s="8"/>
      <c r="K214" s="8"/>
      <c r="L214" s="8"/>
      <c r="M214" s="8"/>
      <c r="N214" s="8"/>
      <c r="O214" s="8">
        <v>0</v>
      </c>
      <c r="P214" s="8"/>
      <c r="Q214" s="8"/>
    </row>
    <row r="215" spans="5:17" ht="12.75" hidden="1" customHeight="1" x14ac:dyDescent="0.3">
      <c r="E215" s="5" t="s">
        <v>14</v>
      </c>
      <c r="F215" s="8"/>
      <c r="G215" s="8"/>
      <c r="H215" s="8"/>
      <c r="I215" s="8"/>
      <c r="J215" s="8"/>
      <c r="K215" s="8"/>
      <c r="L215" s="8"/>
      <c r="M215" s="8"/>
      <c r="N215" s="8"/>
      <c r="O215" s="8">
        <v>0</v>
      </c>
      <c r="P215" s="8"/>
      <c r="Q215" s="8"/>
    </row>
    <row r="216" spans="5:17" ht="12.75" hidden="1" customHeight="1" x14ac:dyDescent="0.3">
      <c r="E216" s="5" t="s">
        <v>13</v>
      </c>
      <c r="F216" s="8"/>
      <c r="G216" s="8"/>
      <c r="H216" s="8"/>
      <c r="I216" s="8"/>
      <c r="J216" s="8"/>
      <c r="K216" s="8"/>
      <c r="L216" s="8"/>
      <c r="M216" s="8"/>
      <c r="N216" s="8"/>
      <c r="O216" s="8">
        <v>0</v>
      </c>
      <c r="P216" s="8"/>
      <c r="Q216" s="8"/>
    </row>
    <row r="217" spans="5:17" ht="12.75" hidden="1" customHeight="1" x14ac:dyDescent="0.3">
      <c r="E217" s="5" t="s">
        <v>12</v>
      </c>
      <c r="F217" s="8"/>
      <c r="G217" s="8"/>
      <c r="H217" s="8"/>
      <c r="I217" s="8"/>
      <c r="J217" s="8"/>
      <c r="K217" s="8"/>
      <c r="L217" s="8"/>
      <c r="M217" s="8"/>
      <c r="N217" s="8"/>
      <c r="O217" s="8">
        <v>0</v>
      </c>
      <c r="P217" s="8"/>
      <c r="Q217" s="8"/>
    </row>
    <row r="218" spans="5:17" x14ac:dyDescent="0.3">
      <c r="E218" s="5" t="s">
        <v>11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/>
      <c r="Q218" s="8"/>
    </row>
    <row r="219" spans="5:17" hidden="1" x14ac:dyDescent="0.3">
      <c r="E219" s="5" t="s">
        <v>48</v>
      </c>
      <c r="F219" s="8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0</v>
      </c>
      <c r="P219" s="8"/>
      <c r="Q219" s="8"/>
    </row>
    <row r="220" spans="5:17" x14ac:dyDescent="0.3">
      <c r="E220" s="5" t="s">
        <v>47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0</v>
      </c>
      <c r="P220" s="8"/>
      <c r="Q220" s="8"/>
    </row>
    <row r="221" spans="5:17" x14ac:dyDescent="0.3">
      <c r="E221" s="5" t="s">
        <v>46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57">
        <v>0</v>
      </c>
      <c r="O221" s="8">
        <v>0</v>
      </c>
      <c r="P221" s="8"/>
      <c r="Q221" s="8"/>
    </row>
    <row r="222" spans="5:17" x14ac:dyDescent="0.3">
      <c r="E222" s="5" t="s">
        <v>6</v>
      </c>
      <c r="F222" s="24">
        <v>0</v>
      </c>
      <c r="G222" s="24">
        <v>0</v>
      </c>
      <c r="H222" s="24">
        <v>0</v>
      </c>
      <c r="I222" s="24">
        <v>0</v>
      </c>
      <c r="J222" s="24">
        <v>0</v>
      </c>
      <c r="K222" s="24">
        <v>0</v>
      </c>
      <c r="L222" s="24">
        <v>0</v>
      </c>
      <c r="M222" s="24">
        <v>0</v>
      </c>
      <c r="N222" s="24">
        <v>0</v>
      </c>
      <c r="O222" s="8">
        <v>0</v>
      </c>
      <c r="P222" s="8"/>
      <c r="Q222" s="8"/>
    </row>
    <row r="223" spans="5:17" x14ac:dyDescent="0.3">
      <c r="E223" s="5" t="s">
        <v>5</v>
      </c>
      <c r="F223" s="24">
        <v>0</v>
      </c>
      <c r="G223" s="24">
        <v>0</v>
      </c>
      <c r="H223" s="24">
        <v>0</v>
      </c>
      <c r="I223" s="24">
        <v>0</v>
      </c>
      <c r="J223" s="24">
        <v>0</v>
      </c>
      <c r="K223" s="24">
        <v>0</v>
      </c>
      <c r="L223" s="24">
        <v>0</v>
      </c>
      <c r="M223" s="24">
        <v>0</v>
      </c>
      <c r="N223" s="24">
        <v>0</v>
      </c>
      <c r="O223" s="8">
        <v>0</v>
      </c>
      <c r="P223" s="8">
        <v>0</v>
      </c>
      <c r="Q223" s="8">
        <v>0</v>
      </c>
    </row>
    <row r="224" spans="5:17" x14ac:dyDescent="0.3">
      <c r="E224" s="5" t="s">
        <v>4</v>
      </c>
      <c r="F224" s="10">
        <f>IFERROR((1-F223/F222),0)</f>
        <v>0</v>
      </c>
      <c r="G224" s="10">
        <f>IFERROR((1-G223/G222),0)</f>
        <v>0</v>
      </c>
      <c r="H224" s="10">
        <f>IFERROR((1-H223/H222),0)</f>
        <v>0</v>
      </c>
      <c r="I224" s="10">
        <f>IFERROR((1-I223/I222),0)</f>
        <v>0</v>
      </c>
      <c r="J224" s="10">
        <f>IFERROR((1-J223/J222),0)</f>
        <v>0</v>
      </c>
      <c r="K224" s="10">
        <f>IFERROR((1-K223/K222),0)</f>
        <v>0</v>
      </c>
      <c r="L224" s="10">
        <f>IFERROR((1-L223/L222),0)</f>
        <v>0</v>
      </c>
      <c r="M224" s="10">
        <f>IFERROR((1-M223/M222),0)</f>
        <v>0</v>
      </c>
      <c r="N224" s="10">
        <f>IFERROR((1-N223/N222),0)</f>
        <v>0</v>
      </c>
      <c r="O224" s="10">
        <f>IFERROR((1-O223/O222),0)</f>
        <v>0</v>
      </c>
      <c r="P224" s="10">
        <f>IFERROR((1-P223/P222),0)</f>
        <v>0</v>
      </c>
      <c r="Q224" s="10">
        <f>IFERROR((1-Q223/Q222),0)</f>
        <v>0</v>
      </c>
    </row>
    <row r="225" spans="1:22" x14ac:dyDescent="0.3">
      <c r="E225" s="5" t="s">
        <v>3</v>
      </c>
      <c r="F225" s="8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7</v>
      </c>
      <c r="O225" s="8">
        <v>3</v>
      </c>
      <c r="P225" s="8"/>
      <c r="Q225" s="8">
        <v>6</v>
      </c>
    </row>
    <row r="226" spans="1:22" x14ac:dyDescent="0.3">
      <c r="E226" s="5" t="s">
        <v>2</v>
      </c>
      <c r="F226" s="24">
        <v>0</v>
      </c>
      <c r="G226" s="24">
        <v>0</v>
      </c>
      <c r="H226" s="24">
        <v>0</v>
      </c>
      <c r="I226" s="24">
        <v>0</v>
      </c>
      <c r="J226" s="24">
        <v>0</v>
      </c>
      <c r="K226" s="24">
        <v>0</v>
      </c>
      <c r="L226" s="24">
        <v>0</v>
      </c>
      <c r="M226" s="24">
        <v>0</v>
      </c>
      <c r="N226" s="24">
        <f>IFERROR(N222/N195,0)</f>
        <v>0</v>
      </c>
      <c r="O226" s="24">
        <f>IFERROR(O222/O195,0)</f>
        <v>0</v>
      </c>
      <c r="P226" s="24">
        <f>IFERROR(P222/P195,0)</f>
        <v>0</v>
      </c>
      <c r="Q226" s="24">
        <f>IFERROR(Q222/Q195,0)</f>
        <v>0</v>
      </c>
    </row>
    <row r="227" spans="1:22" x14ac:dyDescent="0.3">
      <c r="E227" s="5" t="s">
        <v>1</v>
      </c>
      <c r="F227" s="56">
        <v>0</v>
      </c>
      <c r="G227" s="56">
        <v>0</v>
      </c>
      <c r="H227" s="56">
        <v>0</v>
      </c>
      <c r="I227" s="56">
        <v>0</v>
      </c>
      <c r="J227" s="56">
        <v>0</v>
      </c>
      <c r="K227" s="56">
        <v>0</v>
      </c>
      <c r="L227" s="56">
        <v>0</v>
      </c>
      <c r="M227" s="56">
        <v>0</v>
      </c>
      <c r="N227" s="8">
        <v>0</v>
      </c>
      <c r="O227" s="8">
        <v>0</v>
      </c>
      <c r="P227" s="8">
        <v>0</v>
      </c>
      <c r="Q227" s="8">
        <v>0</v>
      </c>
    </row>
    <row r="228" spans="1:22" x14ac:dyDescent="0.3">
      <c r="E228" s="5" t="s">
        <v>0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</row>
    <row r="229" spans="1:22" ht="3" customHeight="1" x14ac:dyDescent="0.3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</row>
    <row r="230" spans="1:22" hidden="1" x14ac:dyDescent="0.3">
      <c r="A230" s="2"/>
      <c r="B230" s="2"/>
      <c r="C230" s="2"/>
      <c r="E230" s="2"/>
      <c r="F230" s="55" t="e">
        <v>#REF!</v>
      </c>
      <c r="G230" s="55">
        <f>F234-G237+G286</f>
        <v>77281</v>
      </c>
      <c r="H230" s="55">
        <f>G234-H237+H286</f>
        <v>74088</v>
      </c>
      <c r="I230" s="55">
        <f>H234-I237+I286</f>
        <v>71960</v>
      </c>
      <c r="J230" s="55">
        <f>I234-J237+J286</f>
        <v>70433</v>
      </c>
      <c r="K230" s="55">
        <f>J234-K237+K286</f>
        <v>68246</v>
      </c>
      <c r="L230" s="55">
        <f>K234-L237+L286</f>
        <v>61984</v>
      </c>
      <c r="M230" s="55">
        <f>L234-M237+M286</f>
        <v>57999</v>
      </c>
      <c r="N230" s="55">
        <f>M234-N237+N286</f>
        <v>55145</v>
      </c>
      <c r="O230" s="55">
        <f>N234-O237+O286</f>
        <v>53387</v>
      </c>
      <c r="P230" s="55">
        <f>O234-P237+P286</f>
        <v>52040</v>
      </c>
      <c r="Q230" s="29"/>
    </row>
    <row r="231" spans="1:22" hidden="1" x14ac:dyDescent="0.3">
      <c r="A231" s="2"/>
      <c r="B231" s="2"/>
      <c r="C231" s="2"/>
      <c r="E231" s="2"/>
      <c r="F231" s="55" t="e">
        <f>F234-F230</f>
        <v>#REF!</v>
      </c>
      <c r="G231" s="55">
        <f>G234-G230</f>
        <v>877</v>
      </c>
      <c r="H231" s="55">
        <f>H234-H230</f>
        <v>-111</v>
      </c>
      <c r="I231" s="55">
        <f>I234-I230</f>
        <v>95</v>
      </c>
      <c r="J231" s="55">
        <f>J234-J230</f>
        <v>131</v>
      </c>
      <c r="K231" s="55">
        <f>K234-K230</f>
        <v>-182</v>
      </c>
      <c r="L231" s="55">
        <f>L234-L230</f>
        <v>-741</v>
      </c>
      <c r="M231" s="55">
        <f>M234-M230</f>
        <v>3</v>
      </c>
      <c r="N231" s="55">
        <f>N234-N230</f>
        <v>-176</v>
      </c>
      <c r="O231" s="55">
        <f>O234-O230</f>
        <v>-238</v>
      </c>
      <c r="P231" s="55">
        <f>P234-P230</f>
        <v>-42</v>
      </c>
      <c r="Q231" s="29"/>
    </row>
    <row r="232" spans="1:22" x14ac:dyDescent="0.3">
      <c r="E232" s="54" t="s">
        <v>33</v>
      </c>
      <c r="F232" s="54" t="s">
        <v>32</v>
      </c>
      <c r="G232" s="54" t="s">
        <v>31</v>
      </c>
      <c r="H232" s="54" t="s">
        <v>30</v>
      </c>
      <c r="I232" s="54" t="s">
        <v>29</v>
      </c>
      <c r="J232" s="54" t="s">
        <v>28</v>
      </c>
      <c r="K232" s="54" t="s">
        <v>27</v>
      </c>
      <c r="L232" s="54" t="s">
        <v>26</v>
      </c>
      <c r="M232" s="54" t="s">
        <v>25</v>
      </c>
      <c r="N232" s="54" t="s">
        <v>24</v>
      </c>
      <c r="O232" s="54" t="s">
        <v>23</v>
      </c>
      <c r="P232" s="54" t="s">
        <v>22</v>
      </c>
      <c r="Q232" s="54" t="s">
        <v>21</v>
      </c>
    </row>
    <row r="233" spans="1:22" x14ac:dyDescent="0.3">
      <c r="E233" s="5" t="s">
        <v>20</v>
      </c>
      <c r="F233" s="8">
        <v>80306</v>
      </c>
      <c r="G233" s="8">
        <v>80761</v>
      </c>
      <c r="H233" s="8">
        <v>81014</v>
      </c>
      <c r="I233" s="8">
        <v>82972</v>
      </c>
      <c r="J233" s="8">
        <v>85384</v>
      </c>
      <c r="K233" s="8">
        <v>86880</v>
      </c>
      <c r="L233" s="8">
        <v>88447</v>
      </c>
      <c r="M233" s="8">
        <v>91198</v>
      </c>
      <c r="N233" s="8">
        <v>94115</v>
      </c>
      <c r="O233" s="8">
        <v>96587</v>
      </c>
      <c r="P233" s="8">
        <v>99379</v>
      </c>
      <c r="Q233" s="8">
        <v>100224</v>
      </c>
    </row>
    <row r="234" spans="1:22" x14ac:dyDescent="0.3">
      <c r="E234" s="5" t="s">
        <v>19</v>
      </c>
      <c r="F234" s="8">
        <f>SUM(F82,F59,F36,F13,F120,F158)</f>
        <v>78397</v>
      </c>
      <c r="G234" s="8">
        <f>SUM(G82,G59,G36,G13,G120,G158)</f>
        <v>78158</v>
      </c>
      <c r="H234" s="8">
        <f>SUM(H82,H59,H36,H13,H120,H158)</f>
        <v>73977</v>
      </c>
      <c r="I234" s="8">
        <f>SUM(I82,I59,I36,I13,I120,I158)</f>
        <v>72055</v>
      </c>
      <c r="J234" s="8">
        <f>SUM(J82,J59,J36,J13,J120,J158)</f>
        <v>70564</v>
      </c>
      <c r="K234" s="8">
        <f>SUM(K82,K59,K36,K13,K120,K158)</f>
        <v>68064</v>
      </c>
      <c r="L234" s="8">
        <f>SUM(L82,L59,L36,L13,L120,L158)</f>
        <v>61243</v>
      </c>
      <c r="M234" s="8">
        <f>SUM(M82,M59,M36,M13,M120,M158)</f>
        <v>58002</v>
      </c>
      <c r="N234" s="8">
        <f>SUM(N82,N59,N36,N13,N120,N158,N195)</f>
        <v>54969</v>
      </c>
      <c r="O234" s="8">
        <f>SUM(O82,O59,O36,O13,O120,O158,O195)</f>
        <v>53149</v>
      </c>
      <c r="P234" s="8">
        <f>SUM(P82,P59,P36,P13,P120,P158,P195)</f>
        <v>51998</v>
      </c>
      <c r="Q234" s="8">
        <f>SUM(Q82,Q59,Q36,Q13,Q120,Q158,Q195)</f>
        <v>51457</v>
      </c>
      <c r="V234" s="6"/>
    </row>
    <row r="235" spans="1:22" x14ac:dyDescent="0.3">
      <c r="E235" s="14" t="s">
        <v>41</v>
      </c>
      <c r="F235" s="8">
        <f>SUMIF($E$13:$E$191,E235,$F$13:$F$191)</f>
        <v>1603</v>
      </c>
      <c r="G235" s="8">
        <f>SUMIF($E$13:$E$191,E235,$G$13:$G$191)</f>
        <v>1616</v>
      </c>
      <c r="H235" s="8">
        <f>SUMIF($E$13:$E$191,E235,$H$13:$H$191)</f>
        <v>1685</v>
      </c>
      <c r="I235" s="8">
        <f>SUMIF($E$13:$E$191,E235,$I$13:$I$191)</f>
        <v>1786</v>
      </c>
      <c r="J235" s="8">
        <f>SUMIF($E$13:$E$191,E235,$J$13:$J$191)</f>
        <v>1729</v>
      </c>
      <c r="K235" s="8">
        <f>SUMIF($E$13:$E$191,E235,$K$13:$K$191)</f>
        <v>1747</v>
      </c>
      <c r="L235" s="8">
        <f>SUMIF($E$13:$E$191,E235,$L$13:$L$191)</f>
        <v>1810</v>
      </c>
      <c r="M235" s="8">
        <f>SUMIF($E$13:$E$191,E235,$M$13:$M$191)</f>
        <v>1785</v>
      </c>
      <c r="N235" s="8">
        <f>SUMIF($E$13:$E$191,E235,$N$13:$N$228)</f>
        <v>1644</v>
      </c>
      <c r="O235" s="8">
        <f>SUMIF($E$13:$E$228,E235,$O$13:$O$228)</f>
        <v>1570</v>
      </c>
      <c r="P235" s="8">
        <f>SUMIF($E$13:$E$228,E235,$P$13:$P$228)</f>
        <v>1553</v>
      </c>
      <c r="Q235" s="8">
        <f>SUMIF($E$13:$E$228,E235,$Q$13:$Q$228)</f>
        <v>1541</v>
      </c>
    </row>
    <row r="236" spans="1:22" x14ac:dyDescent="0.3">
      <c r="E236" s="14" t="s">
        <v>40</v>
      </c>
      <c r="F236" s="8">
        <f>SUMIF($E$13:$E$191,E236,$F$13:$F$191)</f>
        <v>76794</v>
      </c>
      <c r="G236" s="8">
        <f>SUMIF($E$13:$E$191,E236,$G$13:$G$191)</f>
        <v>76542</v>
      </c>
      <c r="H236" s="8">
        <f>SUMIF($E$13:$E$191,E236,$H$13:$H$191)</f>
        <v>72292</v>
      </c>
      <c r="I236" s="8">
        <f>SUMIF($E$13:$E$191,E236,$I$13:$I$191)</f>
        <v>70269</v>
      </c>
      <c r="J236" s="8">
        <f>SUMIF($E$13:$E$191,E236,$J$13:$J$191)</f>
        <v>68835</v>
      </c>
      <c r="K236" s="8">
        <f>SUMIF($E$13:$E$191,E236,$K$13:$K$191)</f>
        <v>66317</v>
      </c>
      <c r="L236" s="8">
        <f>SUMIF($E$13:$E$191,E236,$L$13:$L$191)</f>
        <v>59433</v>
      </c>
      <c r="M236" s="8">
        <f>SUMIF($E$13:$E$191,E236,$M$13:$M$191)</f>
        <v>56217</v>
      </c>
      <c r="N236" s="8">
        <f>SUMIF($E$13:$E$228,E236,$N$13:$N$228)</f>
        <v>53325</v>
      </c>
      <c r="O236" s="8">
        <f>SUMIF($E$13:$E$228,E236,$O$13:$O$228)</f>
        <v>51579</v>
      </c>
      <c r="P236" s="8">
        <f>SUMIF($E$13:$E$228,E236,$P$13:$P$228)</f>
        <v>50445</v>
      </c>
      <c r="Q236" s="8">
        <f>SUMIF($E$13:$E$228,E236,$Q$13:$Q$228)</f>
        <v>49916</v>
      </c>
    </row>
    <row r="237" spans="1:22" x14ac:dyDescent="0.3">
      <c r="E237" s="5" t="s">
        <v>39</v>
      </c>
      <c r="F237" s="8">
        <f>SUM(F123,F85,F62,F39,F16,F161)</f>
        <v>5388</v>
      </c>
      <c r="G237" s="8">
        <f>SUM(G123,G85,G62,G39,G16,G161)</f>
        <v>4558</v>
      </c>
      <c r="H237" s="8">
        <f>SUM(H123,H85,H62,H39,H16,H161)</f>
        <v>8193</v>
      </c>
      <c r="I237" s="8">
        <f>SUM(I123,I85,I62,I39,I16,I161)</f>
        <v>6340</v>
      </c>
      <c r="J237" s="8">
        <f>SUM(J123,J85,J62,J39,J16,J161)</f>
        <v>4775</v>
      </c>
      <c r="K237" s="8">
        <f>SUM(K123,K85,K62,K39,K16,K161)</f>
        <v>5129</v>
      </c>
      <c r="L237" s="8">
        <f>SUM(L123,L85,L62,L39,L16,L161)</f>
        <v>9875</v>
      </c>
      <c r="M237" s="8">
        <f>SUM(M123,M85,M62,M39,M16,M161)</f>
        <v>6651</v>
      </c>
      <c r="N237" s="8">
        <f>SUM(N123,N85,N62,N39,N16,N161,N198)</f>
        <v>5090</v>
      </c>
      <c r="O237" s="8">
        <f>SUM(O123,O85,O62,O39,O16,O161,O198)</f>
        <v>2812</v>
      </c>
      <c r="P237" s="8">
        <f>SUM(P123,P85,P62,P39,P16,P161,P198)</f>
        <v>2467</v>
      </c>
      <c r="Q237" s="8">
        <f>SUM(Q123,Q85,Q62,Q39,Q16,Q161,Q198)</f>
        <v>2301</v>
      </c>
    </row>
    <row r="238" spans="1:22" x14ac:dyDescent="0.3">
      <c r="E238" s="5" t="s">
        <v>15</v>
      </c>
      <c r="F238" s="8">
        <f>SUM(F124,F86,F63,F40,F17,F162)</f>
        <v>1056</v>
      </c>
      <c r="G238" s="8">
        <f>SUM(G124,G86,G63,G40,G17,G162)</f>
        <v>818</v>
      </c>
      <c r="H238" s="8">
        <f>SUM(H124,H86,H63,H40,H17,H162)</f>
        <v>867</v>
      </c>
      <c r="I238" s="8">
        <f>SUM(I124,I86,I63,I40,I17,I162)</f>
        <v>530</v>
      </c>
      <c r="J238" s="8">
        <f>SUM(J124,J86,J63,J40,J17,J162)</f>
        <v>751</v>
      </c>
      <c r="K238" s="8">
        <f>SUM(K124,K86,K63,K40,K17,K162)</f>
        <v>1113</v>
      </c>
      <c r="L238" s="8">
        <f>SUM(L124,L86,L63,L40,L17,L162)</f>
        <v>1322</v>
      </c>
      <c r="M238" s="8">
        <f>SUM(M124,M86,M63,M40,M17,M162)</f>
        <v>800</v>
      </c>
      <c r="N238" s="8">
        <f>SUM(N124,N86,N63,N40,N17,N162,N199)</f>
        <v>687</v>
      </c>
      <c r="O238" s="8">
        <f>SUM(O124,O86,O63,O40,O17,O162,O199)</f>
        <v>481</v>
      </c>
      <c r="P238" s="8">
        <f>SUM(P124,P86,P63,P40,P17,P162,P199)</f>
        <v>857</v>
      </c>
      <c r="Q238" s="8">
        <f>SUM(Q124,Q86,Q63,Q40,Q17,Q162,Q199)</f>
        <v>794</v>
      </c>
    </row>
    <row r="239" spans="1:22" hidden="1" x14ac:dyDescent="0.3">
      <c r="A239" s="16"/>
      <c r="B239" s="16"/>
      <c r="C239" s="16"/>
      <c r="E239" s="5" t="s">
        <v>14</v>
      </c>
      <c r="F239" s="10">
        <v>7.7297180976974397E-2</v>
      </c>
      <c r="G239" s="10">
        <f>IFERROR((G237/F234),0)</f>
        <v>5.8139979846167582E-2</v>
      </c>
      <c r="H239" s="10">
        <f>IFERROR((H237/G234),0)</f>
        <v>0.10482612144630109</v>
      </c>
      <c r="I239" s="10">
        <f>IFERROR((I237/H234),0)</f>
        <v>8.5702312881030585E-2</v>
      </c>
      <c r="J239" s="10">
        <f>IFERROR((J237/I234),0)</f>
        <v>6.6268822427312468E-2</v>
      </c>
      <c r="K239" s="10">
        <f>IFERROR((K237/J234),0)</f>
        <v>7.2685788787483704E-2</v>
      </c>
      <c r="L239" s="10">
        <f>IFERROR((L237/K234),0)</f>
        <v>0.14508403855195109</v>
      </c>
      <c r="M239" s="10"/>
      <c r="N239" s="10"/>
      <c r="O239" s="10">
        <f>IFERROR((O237/N234),0)</f>
        <v>5.1156106168931577E-2</v>
      </c>
      <c r="P239" s="10">
        <f>IFERROR((P237/O234),0)</f>
        <v>4.6416677642100508E-2</v>
      </c>
      <c r="Q239" s="10">
        <f>IFERROR((Q237/P234),0)</f>
        <v>4.425170198853802E-2</v>
      </c>
    </row>
    <row r="240" spans="1:22" hidden="1" x14ac:dyDescent="0.3">
      <c r="A240" s="16"/>
      <c r="B240" s="16"/>
      <c r="C240" s="16"/>
      <c r="E240" s="5" t="s">
        <v>13</v>
      </c>
      <c r="F240" s="8" t="e">
        <f>SUM(F88,#REF!,F65,F42,F19)</f>
        <v>#REF!</v>
      </c>
      <c r="G240" s="8" t="e">
        <f>SUM(G88,#REF!,G65,G42,G19)</f>
        <v>#REF!</v>
      </c>
      <c r="H240" s="8" t="e">
        <f>SUM(H88,#REF!,H65,H42,H19)</f>
        <v>#REF!</v>
      </c>
      <c r="I240" s="8" t="e">
        <f>SUM(I88,#REF!,I65,I42,I19)</f>
        <v>#REF!</v>
      </c>
      <c r="J240" s="8" t="e">
        <f>SUM(J88,#REF!,J65,J42,J19)</f>
        <v>#REF!</v>
      </c>
      <c r="K240" s="8" t="e">
        <f>SUM(K88,#REF!,K65,K42,K19)</f>
        <v>#REF!</v>
      </c>
      <c r="L240" s="8" t="e">
        <f>SUM(L88,#REF!,L65,L42,L19)</f>
        <v>#REF!</v>
      </c>
      <c r="M240" s="8"/>
      <c r="N240" s="8"/>
      <c r="O240" s="8" t="e">
        <f>SUM(O88,#REF!,O65,O42,O19)</f>
        <v>#REF!</v>
      </c>
      <c r="P240" s="8" t="e">
        <f>SUM(P88,#REF!,P65,P42,P19)</f>
        <v>#REF!</v>
      </c>
      <c r="Q240" s="8" t="e">
        <f>SUM(Q88,#REF!,Q65,Q42,Q19)</f>
        <v>#REF!</v>
      </c>
    </row>
    <row r="241" spans="1:17" hidden="1" x14ac:dyDescent="0.3">
      <c r="A241" s="16"/>
      <c r="B241" s="16"/>
      <c r="C241" s="16"/>
      <c r="E241" s="5" t="s">
        <v>12</v>
      </c>
      <c r="F241" s="8" t="e">
        <f>SUM(F89,#REF!,F66,F43,F20)</f>
        <v>#REF!</v>
      </c>
      <c r="G241" s="8" t="e">
        <f>SUM(G89,#REF!,G66,G43,G20)</f>
        <v>#REF!</v>
      </c>
      <c r="H241" s="8" t="e">
        <f>SUM(H89,#REF!,H66,H43,H20)</f>
        <v>#REF!</v>
      </c>
      <c r="I241" s="8" t="e">
        <f>SUM(I89,#REF!,I66,I43,I20)</f>
        <v>#REF!</v>
      </c>
      <c r="J241" s="8" t="e">
        <f>SUM(J89,#REF!,J66,J43,J20)</f>
        <v>#REF!</v>
      </c>
      <c r="K241" s="8" t="e">
        <f>SUM(K89,#REF!,K66,K43,K20)</f>
        <v>#REF!</v>
      </c>
      <c r="L241" s="8" t="e">
        <f>SUM(L89,#REF!,L66,L43,L20)</f>
        <v>#REF!</v>
      </c>
      <c r="M241" s="8"/>
      <c r="N241" s="8"/>
      <c r="O241" s="8" t="e">
        <f>SUM(O89,#REF!,O66,O43,O20)</f>
        <v>#REF!</v>
      </c>
      <c r="P241" s="8" t="e">
        <f>SUM(P89,#REF!,P66,P43,P20)</f>
        <v>#REF!</v>
      </c>
      <c r="Q241" s="8" t="e">
        <f>SUM(Q89,#REF!,Q66,Q43,Q20)</f>
        <v>#REF!</v>
      </c>
    </row>
    <row r="242" spans="1:17" hidden="1" x14ac:dyDescent="0.3">
      <c r="A242" s="16"/>
      <c r="B242" s="16"/>
      <c r="C242" s="16"/>
      <c r="E242" s="5" t="s">
        <v>11</v>
      </c>
      <c r="F242" s="8" t="e">
        <f>SUM(F90,#REF!,F67,F44,F21)</f>
        <v>#REF!</v>
      </c>
      <c r="G242" s="8" t="e">
        <f>SUM(G90,#REF!,G67,G44,G21)</f>
        <v>#REF!</v>
      </c>
      <c r="H242" s="8" t="e">
        <f>SUM(H90,#REF!,H67,H44,H21)</f>
        <v>#REF!</v>
      </c>
      <c r="I242" s="8" t="e">
        <f>SUM(I90,#REF!,I67,I44,I21)</f>
        <v>#REF!</v>
      </c>
      <c r="J242" s="8" t="e">
        <f>SUM(J90,#REF!,J67,J44,J21)</f>
        <v>#REF!</v>
      </c>
      <c r="K242" s="8" t="e">
        <f>SUM(K90,#REF!,K67,K44,K21)</f>
        <v>#REF!</v>
      </c>
      <c r="L242" s="8" t="e">
        <f>SUM(L90,#REF!,L67,L44,L21)</f>
        <v>#REF!</v>
      </c>
      <c r="M242" s="8"/>
      <c r="N242" s="8"/>
      <c r="O242" s="8" t="e">
        <f>SUM(O90,#REF!,O67,O44,O21)</f>
        <v>#REF!</v>
      </c>
      <c r="P242" s="8" t="e">
        <f>SUM(P90,#REF!,P67,P44,P21)</f>
        <v>#REF!</v>
      </c>
      <c r="Q242" s="8" t="e">
        <f>SUM(Q90,#REF!,Q67,Q44,Q21)</f>
        <v>#REF!</v>
      </c>
    </row>
    <row r="243" spans="1:17" hidden="1" x14ac:dyDescent="0.3">
      <c r="A243" s="16"/>
      <c r="B243" s="16"/>
      <c r="C243" s="16"/>
      <c r="E243" s="5" t="s">
        <v>7</v>
      </c>
      <c r="F243" s="8">
        <v>43191853</v>
      </c>
      <c r="G243" s="8">
        <v>43482181</v>
      </c>
      <c r="H243" s="8">
        <v>44215381</v>
      </c>
      <c r="I243" s="8">
        <v>44907576</v>
      </c>
      <c r="J243" s="8">
        <v>45357962</v>
      </c>
      <c r="K243" s="8">
        <v>45796983</v>
      </c>
      <c r="L243" s="8">
        <v>47948830</v>
      </c>
      <c r="M243" s="8"/>
      <c r="N243" s="8"/>
      <c r="O243" s="8">
        <v>48974020</v>
      </c>
      <c r="P243" s="8">
        <v>48936232</v>
      </c>
      <c r="Q243" s="8">
        <v>48790404</v>
      </c>
    </row>
    <row r="244" spans="1:17" hidden="1" x14ac:dyDescent="0.3">
      <c r="A244" s="16"/>
      <c r="B244" s="16"/>
      <c r="C244" s="16"/>
      <c r="E244" s="5" t="s">
        <v>6</v>
      </c>
      <c r="F244" s="8" t="e">
        <f>SUM(F91,#REF!,F71,F48,F25)</f>
        <v>#REF!</v>
      </c>
      <c r="G244" s="8" t="e">
        <f>SUM(G91,#REF!,G71,G48,G25)</f>
        <v>#REF!</v>
      </c>
      <c r="H244" s="8" t="e">
        <f>SUM(H91,#REF!,H71,H48,H25)</f>
        <v>#REF!</v>
      </c>
      <c r="I244" s="8" t="e">
        <f>SUM(I91,#REF!,I71,I48,I25)</f>
        <v>#REF!</v>
      </c>
      <c r="J244" s="8" t="e">
        <f>SUM(J91,#REF!,J71,J48,J25)</f>
        <v>#REF!</v>
      </c>
      <c r="K244" s="8">
        <v>41004500.5</v>
      </c>
      <c r="L244" s="8" t="e">
        <f>SUM(L91,#REF!,L71,L48,L25)</f>
        <v>#REF!</v>
      </c>
      <c r="M244" s="8"/>
      <c r="N244" s="8"/>
      <c r="O244" s="8" t="e">
        <f>SUM(O91,#REF!,O71,O48,O25)</f>
        <v>#REF!</v>
      </c>
      <c r="P244" s="8" t="e">
        <f>SUM(P91,#REF!,P71,P48,P25)</f>
        <v>#REF!</v>
      </c>
      <c r="Q244" s="8" t="e">
        <f>SUM(Q91,#REF!,Q71,Q48,Q25)</f>
        <v>#REF!</v>
      </c>
    </row>
    <row r="245" spans="1:17" hidden="1" x14ac:dyDescent="0.3">
      <c r="A245" s="16"/>
      <c r="B245" s="16"/>
      <c r="C245" s="16"/>
      <c r="E245" s="5" t="s">
        <v>5</v>
      </c>
      <c r="F245" s="8" t="e">
        <f>SUM(F92,#REF!,F72,F49,F26)</f>
        <v>#REF!</v>
      </c>
      <c r="G245" s="8" t="e">
        <f>SUM(G92,#REF!,G72,G49,G26)</f>
        <v>#REF!</v>
      </c>
      <c r="H245" s="8" t="e">
        <f>SUM(H92,#REF!,H72,H49,H26)</f>
        <v>#REF!</v>
      </c>
      <c r="I245" s="8" t="e">
        <f>SUM(I92,#REF!,I72,I49,I26)</f>
        <v>#REF!</v>
      </c>
      <c r="J245" s="8" t="e">
        <f>SUM(J92,#REF!,J72,J49,J26)</f>
        <v>#REF!</v>
      </c>
      <c r="K245" s="8">
        <v>6942573.2300000004</v>
      </c>
      <c r="L245" s="8" t="e">
        <f>SUM(L92,#REF!,L72,L49,L26)</f>
        <v>#REF!</v>
      </c>
      <c r="M245" s="8"/>
      <c r="N245" s="8"/>
      <c r="O245" s="8" t="e">
        <f>SUM(O92,#REF!,O72,O49,O26)</f>
        <v>#REF!</v>
      </c>
      <c r="P245" s="8" t="e">
        <f>SUM(P92,#REF!,P72,P49,P26)</f>
        <v>#REF!</v>
      </c>
      <c r="Q245" s="8" t="e">
        <f>SUM(Q92,#REF!,Q72,Q49,Q26)</f>
        <v>#REF!</v>
      </c>
    </row>
    <row r="246" spans="1:17" hidden="1" x14ac:dyDescent="0.3">
      <c r="A246" s="16"/>
      <c r="B246" s="16"/>
      <c r="C246" s="16"/>
      <c r="E246" s="5" t="s">
        <v>4</v>
      </c>
      <c r="F246" s="9">
        <f>IFERROR(1-F245/F244,0)</f>
        <v>0</v>
      </c>
      <c r="G246" s="9">
        <f>IFERROR(1-G245/G244,0)</f>
        <v>0</v>
      </c>
      <c r="H246" s="9">
        <f>IFERROR(1-H245/H244,0)</f>
        <v>0</v>
      </c>
      <c r="I246" s="9">
        <f>IFERROR(1-I245/I244,0)</f>
        <v>0</v>
      </c>
      <c r="J246" s="9">
        <f>IFERROR(1-J245/J244,0)</f>
        <v>0</v>
      </c>
      <c r="K246" s="9">
        <f>IFERROR(1-K245/K244,0)</f>
        <v>0.83068753075043555</v>
      </c>
      <c r="L246" s="9">
        <f>IFERROR(1-L245/L244,0)</f>
        <v>0</v>
      </c>
      <c r="M246" s="9"/>
      <c r="N246" s="9"/>
      <c r="O246" s="9">
        <f>IFERROR(1-O245/O244,0)</f>
        <v>0</v>
      </c>
      <c r="P246" s="9">
        <f>IFERROR(1-P245/P244,0)</f>
        <v>0</v>
      </c>
      <c r="Q246" s="9">
        <f>IFERROR(1-Q245/Q244,0)</f>
        <v>0</v>
      </c>
    </row>
    <row r="247" spans="1:17" hidden="1" x14ac:dyDescent="0.3">
      <c r="A247" s="16"/>
      <c r="B247" s="16"/>
      <c r="C247" s="16"/>
      <c r="E247" s="5" t="s">
        <v>3</v>
      </c>
      <c r="F247" s="8" t="e">
        <f>SUM(F94,#REF!,F74,F51,F28)</f>
        <v>#REF!</v>
      </c>
      <c r="G247" s="8" t="e">
        <f>SUM(G94,#REF!,G74,G51,G28)</f>
        <v>#REF!</v>
      </c>
      <c r="H247" s="8" t="e">
        <f>SUM(H94,#REF!,H74,H51,H28)</f>
        <v>#REF!</v>
      </c>
      <c r="I247" s="8" t="e">
        <f>SUM(I94,#REF!,I74,I51,I28)</f>
        <v>#REF!</v>
      </c>
      <c r="J247" s="8" t="e">
        <f>SUM(J94,#REF!,J74,J51,J28)</f>
        <v>#REF!</v>
      </c>
      <c r="K247" s="8" t="e">
        <f>SUM(K94,#REF!,K74,K51,K28)</f>
        <v>#REF!</v>
      </c>
      <c r="L247" s="8" t="e">
        <f>SUM(L94,#REF!,L74,L51,L28)</f>
        <v>#REF!</v>
      </c>
      <c r="M247" s="8"/>
      <c r="N247" s="8"/>
      <c r="O247" s="8" t="e">
        <f>SUM(O94,#REF!,O74,O51,O28)</f>
        <v>#REF!</v>
      </c>
      <c r="P247" s="8" t="e">
        <f>SUM(P94,#REF!,P74,P51,P28)</f>
        <v>#REF!</v>
      </c>
      <c r="Q247" s="8" t="e">
        <f>SUM(Q94,#REF!,Q74,Q51,Q28)</f>
        <v>#REF!</v>
      </c>
    </row>
    <row r="248" spans="1:17" hidden="1" x14ac:dyDescent="0.3">
      <c r="A248" s="16"/>
      <c r="B248" s="16"/>
      <c r="C248" s="16"/>
      <c r="E248" s="5" t="s">
        <v>2</v>
      </c>
      <c r="F248" s="8" t="e">
        <f>F244/F234</f>
        <v>#REF!</v>
      </c>
      <c r="G248" s="8" t="e">
        <f>G244/G234</f>
        <v>#REF!</v>
      </c>
      <c r="H248" s="8" t="e">
        <f>H244/H234</f>
        <v>#REF!</v>
      </c>
      <c r="I248" s="8" t="e">
        <f>I244/I234</f>
        <v>#REF!</v>
      </c>
      <c r="J248" s="8" t="e">
        <f>J244/J234</f>
        <v>#REF!</v>
      </c>
      <c r="K248" s="8">
        <f>IFERROR(K244/((K25/K29)+(K48/K52)+(#REF!/#REF!)+(K71/K75)+(K91/K95)),0)</f>
        <v>0</v>
      </c>
      <c r="L248" s="8">
        <f>IFERROR(L244/((L25/L29)+(L48/L52)+(#REF!/#REF!)+(L71/L75)+(L91/L95)),0)</f>
        <v>0</v>
      </c>
      <c r="M248" s="8"/>
      <c r="N248" s="8"/>
      <c r="O248" s="8">
        <f>IFERROR(O244/((O25/O29)+(O48/O52)+(#REF!/#REF!)+(O71/O75)+(O91/O95)),0)</f>
        <v>0</v>
      </c>
      <c r="P248" s="8">
        <f>IFERROR(P244/((P25/P29)+(P48/P52)+(#REF!/#REF!)+(P71/P75)+(P91/P95)),0)</f>
        <v>0</v>
      </c>
      <c r="Q248" s="8">
        <f>IFERROR(Q244/((Q25/Q29)+(Q48/Q52)+(#REF!/#REF!)+(Q71/Q75)+(Q91/Q95)),0)</f>
        <v>0</v>
      </c>
    </row>
    <row r="249" spans="1:17" hidden="1" x14ac:dyDescent="0.3">
      <c r="A249" s="16"/>
      <c r="B249" s="16"/>
      <c r="C249" s="16"/>
      <c r="E249" s="5" t="s">
        <v>1</v>
      </c>
      <c r="F249" s="8" t="e">
        <f>SUM(F96,#REF!,F76,F53,F30)</f>
        <v>#REF!</v>
      </c>
      <c r="G249" s="8" t="e">
        <f>SUM(G96,#REF!,G76,G53,G30)</f>
        <v>#REF!</v>
      </c>
      <c r="H249" s="8" t="e">
        <f>SUM(H96,#REF!,H76,H53,H30)</f>
        <v>#REF!</v>
      </c>
      <c r="I249" s="8" t="e">
        <f>SUM(I96,#REF!,I76,I53,I30)</f>
        <v>#REF!</v>
      </c>
      <c r="J249" s="8" t="e">
        <f>SUM(J96,#REF!,J76,J53,J30)</f>
        <v>#REF!</v>
      </c>
      <c r="K249" s="8" t="e">
        <f>SUM(K96,#REF!,K76,K53,K30)</f>
        <v>#REF!</v>
      </c>
      <c r="L249" s="8" t="e">
        <f>SUM(L96,#REF!,L76,L53,L30)</f>
        <v>#REF!</v>
      </c>
      <c r="M249" s="8"/>
      <c r="N249" s="8"/>
      <c r="O249" s="8" t="e">
        <f>SUM(O96,#REF!,O76,O53,O30)</f>
        <v>#REF!</v>
      </c>
      <c r="P249" s="8" t="e">
        <f>SUM(P96,#REF!,P76,P53,P30)</f>
        <v>#REF!</v>
      </c>
      <c r="Q249" s="8" t="e">
        <f>SUM(Q96,#REF!,Q76,Q53,Q30)</f>
        <v>#REF!</v>
      </c>
    </row>
    <row r="250" spans="1:17" hidden="1" x14ac:dyDescent="0.3">
      <c r="A250" s="16"/>
      <c r="B250" s="16"/>
      <c r="C250" s="16"/>
      <c r="E250" s="5" t="s">
        <v>0</v>
      </c>
      <c r="F250" s="8" t="e">
        <f>SUM(F97,#REF!,F77,F54,F31)</f>
        <v>#REF!</v>
      </c>
      <c r="G250" s="8" t="e">
        <f>SUM(G97,#REF!,G77,G54,G31)</f>
        <v>#REF!</v>
      </c>
      <c r="H250" s="8" t="e">
        <f>SUM(H97,#REF!,H77,H54,H31)</f>
        <v>#REF!</v>
      </c>
      <c r="I250" s="8" t="e">
        <f>SUM(I97,#REF!,I77,I54,I31)</f>
        <v>#REF!</v>
      </c>
      <c r="J250" s="8" t="e">
        <f>SUM(J97,#REF!,J77,J54,J31)</f>
        <v>#REF!</v>
      </c>
      <c r="K250" s="8" t="e">
        <f>SUM(K97,#REF!,K77,K54,K31)</f>
        <v>#REF!</v>
      </c>
      <c r="L250" s="8" t="e">
        <f>SUM(L97,#REF!,L77,L54,L31)</f>
        <v>#REF!</v>
      </c>
      <c r="M250" s="8"/>
      <c r="N250" s="8"/>
      <c r="O250" s="8" t="e">
        <f>SUM(O97,#REF!,O77,O54,O31)</f>
        <v>#REF!</v>
      </c>
      <c r="P250" s="8" t="e">
        <f>SUM(P97,#REF!,P77,P54,P31)</f>
        <v>#REF!</v>
      </c>
      <c r="Q250" s="8" t="e">
        <f>SUM(Q97,#REF!,Q77,Q54,Q31)</f>
        <v>#REF!</v>
      </c>
    </row>
    <row r="251" spans="1:17" hidden="1" x14ac:dyDescent="0.3">
      <c r="A251" s="16"/>
      <c r="B251" s="16"/>
      <c r="C251" s="16"/>
      <c r="E251" s="16"/>
      <c r="F251" s="18"/>
      <c r="G251" s="18"/>
      <c r="H251" s="18"/>
      <c r="I251" s="18"/>
      <c r="J251" s="18"/>
      <c r="K251" s="18"/>
      <c r="L251" s="19"/>
      <c r="M251" s="19"/>
      <c r="N251" s="16"/>
      <c r="O251" s="20"/>
      <c r="P251" s="16"/>
      <c r="Q251" s="16"/>
    </row>
    <row r="252" spans="1:17" hidden="1" x14ac:dyDescent="0.3">
      <c r="A252" s="16"/>
      <c r="B252" s="16"/>
      <c r="C252" s="16"/>
      <c r="E252" s="16"/>
      <c r="F252" s="19"/>
      <c r="G252" s="19"/>
      <c r="H252" s="19"/>
      <c r="I252" s="19"/>
      <c r="J252" s="19"/>
      <c r="K252" s="19"/>
      <c r="L252" s="20"/>
      <c r="M252" s="53"/>
      <c r="N252" s="16"/>
      <c r="O252" s="16"/>
      <c r="P252" s="16"/>
      <c r="Q252" s="16"/>
    </row>
    <row r="253" spans="1:17" hidden="1" x14ac:dyDescent="0.3">
      <c r="A253" s="16"/>
      <c r="B253" s="16"/>
      <c r="C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</row>
    <row r="254" spans="1:17" hidden="1" x14ac:dyDescent="0.3">
      <c r="A254" s="16"/>
      <c r="B254" s="16"/>
      <c r="C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</row>
    <row r="255" spans="1:17" hidden="1" x14ac:dyDescent="0.3">
      <c r="A255" s="16"/>
      <c r="B255" s="16"/>
      <c r="C255" s="16"/>
      <c r="E255" s="15" t="s">
        <v>33</v>
      </c>
      <c r="F255" s="51" t="s">
        <v>32</v>
      </c>
      <c r="G255" s="51" t="s">
        <v>31</v>
      </c>
      <c r="H255" s="51" t="s">
        <v>30</v>
      </c>
      <c r="I255" s="51" t="s">
        <v>29</v>
      </c>
      <c r="J255" s="51" t="s">
        <v>28</v>
      </c>
      <c r="K255" s="51" t="s">
        <v>27</v>
      </c>
      <c r="L255" s="51" t="s">
        <v>26</v>
      </c>
      <c r="M255" s="51"/>
      <c r="N255" s="51"/>
      <c r="O255" s="51" t="s">
        <v>23</v>
      </c>
      <c r="P255" s="51" t="s">
        <v>22</v>
      </c>
      <c r="Q255" s="51" t="s">
        <v>21</v>
      </c>
    </row>
    <row r="256" spans="1:17" hidden="1" x14ac:dyDescent="0.3">
      <c r="A256" s="16"/>
      <c r="B256" s="16"/>
      <c r="C256" s="16"/>
      <c r="E256" s="5" t="s">
        <v>44</v>
      </c>
      <c r="F256" s="8" t="e">
        <f>SUM(F13,F36,#REF!)</f>
        <v>#REF!</v>
      </c>
      <c r="G256" s="8" t="e">
        <f>SUM(G13,G36,#REF!)</f>
        <v>#REF!</v>
      </c>
      <c r="H256" s="8" t="e">
        <f>SUM(H13,H36,#REF!)</f>
        <v>#REF!</v>
      </c>
      <c r="I256" s="8" t="e">
        <f>SUM(I13,I36,#REF!)</f>
        <v>#REF!</v>
      </c>
      <c r="J256" s="8" t="e">
        <f>SUM(J13,J36,#REF!)</f>
        <v>#REF!</v>
      </c>
      <c r="K256" s="8" t="e">
        <f>SUM(K13,K36,#REF!)</f>
        <v>#REF!</v>
      </c>
      <c r="L256" s="8" t="e">
        <f>SUM(L13,L36,#REF!)</f>
        <v>#REF!</v>
      </c>
      <c r="M256" s="8"/>
      <c r="N256" s="8"/>
      <c r="O256" s="8" t="e">
        <f>SUM(O13,O36,#REF!)</f>
        <v>#REF!</v>
      </c>
      <c r="P256" s="8" t="e">
        <f>SUM(P13,P36,#REF!)</f>
        <v>#REF!</v>
      </c>
      <c r="Q256" s="8" t="e">
        <f>SUM(Q13,Q36,#REF!+Q82,Q59)</f>
        <v>#REF!</v>
      </c>
    </row>
    <row r="257" spans="1:17" hidden="1" x14ac:dyDescent="0.3">
      <c r="A257" s="16"/>
      <c r="B257" s="16"/>
      <c r="C257" s="16"/>
      <c r="E257" s="5" t="s">
        <v>39</v>
      </c>
      <c r="F257" s="8" t="e">
        <f>SUM(F16,F39,#REF!)</f>
        <v>#REF!</v>
      </c>
      <c r="G257" s="8" t="e">
        <f>SUM(G16,G39,#REF!)</f>
        <v>#REF!</v>
      </c>
      <c r="H257" s="8" t="e">
        <f>SUM(H16,H39,#REF!)</f>
        <v>#REF!</v>
      </c>
      <c r="I257" s="8" t="e">
        <f>SUM(I16,I39,#REF!)</f>
        <v>#REF!</v>
      </c>
      <c r="J257" s="8" t="e">
        <f>SUM(J16,J39,#REF!)</f>
        <v>#REF!</v>
      </c>
      <c r="K257" s="8" t="e">
        <f>SUM(K16,K39,#REF!)</f>
        <v>#REF!</v>
      </c>
      <c r="L257" s="8" t="e">
        <f>SUM(L16,L39,#REF!)</f>
        <v>#REF!</v>
      </c>
      <c r="M257" s="8"/>
      <c r="N257" s="8"/>
      <c r="O257" s="8" t="e">
        <f>SUM(O16,O39,#REF!)</f>
        <v>#REF!</v>
      </c>
      <c r="P257" s="8" t="e">
        <f>SUM(P16,P39,#REF!)</f>
        <v>#REF!</v>
      </c>
      <c r="Q257" s="8" t="e">
        <f>SUM(Q16,Q39,#REF!,Q85,Q62)</f>
        <v>#REF!</v>
      </c>
    </row>
    <row r="258" spans="1:17" hidden="1" x14ac:dyDescent="0.3">
      <c r="A258" s="16"/>
      <c r="B258" s="16"/>
      <c r="C258" s="16"/>
      <c r="E258" s="5" t="s">
        <v>14</v>
      </c>
      <c r="F258" s="50" t="e">
        <v>#REF!</v>
      </c>
      <c r="G258" s="50" t="e">
        <f>G257/F256</f>
        <v>#REF!</v>
      </c>
      <c r="H258" s="50" t="e">
        <f>H257/G256</f>
        <v>#REF!</v>
      </c>
      <c r="I258" s="50" t="e">
        <f>I257/H256</f>
        <v>#REF!</v>
      </c>
      <c r="J258" s="50" t="e">
        <f>J257/I256</f>
        <v>#REF!</v>
      </c>
      <c r="K258" s="50" t="e">
        <f>K257/J256</f>
        <v>#REF!</v>
      </c>
      <c r="L258" s="50" t="e">
        <f>L257/K256</f>
        <v>#REF!</v>
      </c>
      <c r="M258" s="50"/>
      <c r="N258" s="50"/>
      <c r="O258" s="50" t="e">
        <f>O257/N256</f>
        <v>#REF!</v>
      </c>
      <c r="P258" s="50" t="e">
        <f>P257/O256</f>
        <v>#REF!</v>
      </c>
      <c r="Q258" s="50" t="e">
        <f>Q257/P256</f>
        <v>#REF!</v>
      </c>
    </row>
    <row r="259" spans="1:17" ht="37.5" hidden="1" customHeight="1" x14ac:dyDescent="0.3">
      <c r="A259" s="16"/>
      <c r="B259" s="16"/>
      <c r="C259" s="16"/>
      <c r="E259" s="5" t="s">
        <v>13</v>
      </c>
      <c r="F259" s="8" t="e">
        <f>SUM(F19,F42,#REF!)</f>
        <v>#REF!</v>
      </c>
      <c r="G259" s="8" t="e">
        <f>SUM(G19,G42,#REF!)</f>
        <v>#REF!</v>
      </c>
      <c r="H259" s="8" t="e">
        <f>SUM(H19,H42,#REF!)</f>
        <v>#REF!</v>
      </c>
      <c r="I259" s="8" t="e">
        <f>SUM(I19,I42,#REF!)</f>
        <v>#REF!</v>
      </c>
      <c r="J259" s="8" t="e">
        <f>SUM(J19,J42,#REF!)</f>
        <v>#REF!</v>
      </c>
      <c r="K259" s="8" t="e">
        <f>SUM(K19,K42,#REF!)</f>
        <v>#REF!</v>
      </c>
      <c r="L259" s="8" t="e">
        <f>SUM(L19,L42,#REF!)</f>
        <v>#REF!</v>
      </c>
      <c r="M259" s="8"/>
      <c r="N259" s="8"/>
      <c r="O259" s="8" t="e">
        <f>SUM(O19,O42,#REF!)</f>
        <v>#REF!</v>
      </c>
      <c r="P259" s="8" t="e">
        <f>SUM(P19,P42,#REF!)</f>
        <v>#REF!</v>
      </c>
      <c r="Q259" s="8" t="e">
        <f>SUM(Q19,Q42,#REF!+Q88,Q65)</f>
        <v>#REF!</v>
      </c>
    </row>
    <row r="260" spans="1:17" hidden="1" x14ac:dyDescent="0.3">
      <c r="A260" s="16"/>
      <c r="B260" s="16"/>
      <c r="C260" s="16"/>
      <c r="E260" s="5" t="s">
        <v>12</v>
      </c>
      <c r="F260" s="52" t="e">
        <f>SUM(F20,F43,#REF!)</f>
        <v>#REF!</v>
      </c>
      <c r="G260" s="52" t="e">
        <f>SUM(G20,G43,#REF!)</f>
        <v>#REF!</v>
      </c>
      <c r="H260" s="52" t="e">
        <f>SUM(H20,H43,#REF!)</f>
        <v>#REF!</v>
      </c>
      <c r="I260" s="52" t="e">
        <f>SUM(I20,I43,#REF!)</f>
        <v>#REF!</v>
      </c>
      <c r="J260" s="52" t="e">
        <f>SUM(J20,J43,#REF!)</f>
        <v>#REF!</v>
      </c>
      <c r="K260" s="52" t="e">
        <f>SUM(K20,K43,#REF!)</f>
        <v>#REF!</v>
      </c>
      <c r="L260" s="52" t="e">
        <f>SUM(L20,L43,#REF!)</f>
        <v>#REF!</v>
      </c>
      <c r="M260" s="52"/>
      <c r="N260" s="52"/>
      <c r="O260" s="52" t="e">
        <f>SUM(O20,O43,#REF!)</f>
        <v>#REF!</v>
      </c>
      <c r="P260" s="52" t="e">
        <f>SUM(P20,P43,#REF!)</f>
        <v>#REF!</v>
      </c>
      <c r="Q260" s="52" t="e">
        <f>SUM(Q20,Q43,#REF!,Q89,Q66)</f>
        <v>#REF!</v>
      </c>
    </row>
    <row r="261" spans="1:17" hidden="1" x14ac:dyDescent="0.3">
      <c r="A261" s="16"/>
      <c r="B261" s="16"/>
      <c r="C261" s="16"/>
      <c r="E261" s="5" t="s">
        <v>11</v>
      </c>
      <c r="F261" s="8" t="e">
        <f>SUM(F21,F44,#REF!)</f>
        <v>#REF!</v>
      </c>
      <c r="G261" s="8" t="e">
        <f>SUM(G21,G44,#REF!)</f>
        <v>#REF!</v>
      </c>
      <c r="H261" s="8" t="e">
        <f>SUM(H21,H44,#REF!)</f>
        <v>#REF!</v>
      </c>
      <c r="I261" s="8" t="e">
        <f>SUM(I21,I44,#REF!)</f>
        <v>#REF!</v>
      </c>
      <c r="J261" s="8" t="e">
        <f>SUM(J21,J44,#REF!)</f>
        <v>#REF!</v>
      </c>
      <c r="K261" s="8" t="e">
        <f>SUM(K21,K44,#REF!)</f>
        <v>#REF!</v>
      </c>
      <c r="L261" s="8" t="e">
        <f>SUM(L21,L44,#REF!)</f>
        <v>#REF!</v>
      </c>
      <c r="M261" s="8"/>
      <c r="N261" s="8"/>
      <c r="O261" s="8" t="e">
        <f>SUM(O21,O44,#REF!)</f>
        <v>#REF!</v>
      </c>
      <c r="P261" s="8" t="e">
        <f>SUM(P21,P44,#REF!)</f>
        <v>#REF!</v>
      </c>
      <c r="Q261" s="8" t="e">
        <f>SUM(Q21,Q44,#REF!,Q90,Q67)</f>
        <v>#REF!</v>
      </c>
    </row>
    <row r="262" spans="1:17" hidden="1" x14ac:dyDescent="0.3">
      <c r="A262" s="16"/>
      <c r="B262" s="16"/>
      <c r="C262" s="16"/>
      <c r="E262" s="5" t="s">
        <v>6</v>
      </c>
      <c r="F262" s="23" t="e">
        <f>SUM(F25,F48,#REF!)</f>
        <v>#REF!</v>
      </c>
      <c r="G262" s="23" t="e">
        <f>SUM(G25,G48,#REF!)</f>
        <v>#REF!</v>
      </c>
      <c r="H262" s="23" t="e">
        <f>SUM(H25,H48,#REF!)</f>
        <v>#REF!</v>
      </c>
      <c r="I262" s="23" t="e">
        <f>SUM(I25,I48,#REF!)</f>
        <v>#REF!</v>
      </c>
      <c r="J262" s="23" t="e">
        <f>SUM(J25,J48,#REF!)</f>
        <v>#REF!</v>
      </c>
      <c r="K262" s="23" t="e">
        <f>SUM(K25,K48,#REF!)</f>
        <v>#REF!</v>
      </c>
      <c r="L262" s="23" t="e">
        <f>SUM(L25,L48,#REF!)</f>
        <v>#REF!</v>
      </c>
      <c r="M262" s="23"/>
      <c r="N262" s="23"/>
      <c r="O262" s="23" t="e">
        <f>SUM(O25,O48,#REF!)</f>
        <v>#REF!</v>
      </c>
      <c r="P262" s="23" t="e">
        <f>SUM(P25,P48,#REF!)</f>
        <v>#REF!</v>
      </c>
      <c r="Q262" s="23" t="e">
        <f>SUM(Q25,Q48,#REF!,Q91,Q71)</f>
        <v>#REF!</v>
      </c>
    </row>
    <row r="263" spans="1:17" hidden="1" x14ac:dyDescent="0.3">
      <c r="A263" s="16"/>
      <c r="B263" s="16"/>
      <c r="C263" s="16"/>
      <c r="E263" s="5" t="s">
        <v>5</v>
      </c>
      <c r="F263" s="4" t="e">
        <f>SUM(F26,F49,#REF!)</f>
        <v>#REF!</v>
      </c>
      <c r="G263" s="4" t="e">
        <f>SUM(G26,G49,#REF!)</f>
        <v>#REF!</v>
      </c>
      <c r="H263" s="4" t="e">
        <f>SUM(H26,H49,#REF!)</f>
        <v>#REF!</v>
      </c>
      <c r="I263" s="4" t="e">
        <f>SUM(I26,I49,#REF!)</f>
        <v>#REF!</v>
      </c>
      <c r="J263" s="4" t="e">
        <f>SUM(J26,J49,#REF!)</f>
        <v>#REF!</v>
      </c>
      <c r="K263" s="4" t="e">
        <f>SUM(K26,K49,#REF!)</f>
        <v>#REF!</v>
      </c>
      <c r="L263" s="4" t="e">
        <f>SUM(L26,L49,#REF!)</f>
        <v>#REF!</v>
      </c>
      <c r="M263" s="4"/>
      <c r="N263" s="4"/>
      <c r="O263" s="4" t="e">
        <f>SUM(O26,O49,#REF!)</f>
        <v>#REF!</v>
      </c>
      <c r="P263" s="4" t="e">
        <f>SUM(P26,P49,#REF!)</f>
        <v>#REF!</v>
      </c>
      <c r="Q263" s="4" t="e">
        <f>SUM(Q26,Q49,#REF!,Q92,Q72)</f>
        <v>#REF!</v>
      </c>
    </row>
    <row r="264" spans="1:17" hidden="1" x14ac:dyDescent="0.3">
      <c r="A264" s="16"/>
      <c r="B264" s="16"/>
      <c r="C264" s="16"/>
      <c r="E264" s="5" t="s">
        <v>4</v>
      </c>
      <c r="F264" s="50" t="str">
        <f>IFERROR(1-F263/F262,"")</f>
        <v/>
      </c>
      <c r="G264" s="50" t="str">
        <f>IFERROR(1-G263/G262,"")</f>
        <v/>
      </c>
      <c r="H264" s="50" t="str">
        <f>IFERROR(1-H263/H262,"")</f>
        <v/>
      </c>
      <c r="I264" s="50" t="str">
        <f>IFERROR(1-I263/I262,"")</f>
        <v/>
      </c>
      <c r="J264" s="50" t="str">
        <f>IFERROR(1-J263/J262,"")</f>
        <v/>
      </c>
      <c r="K264" s="50" t="str">
        <f>IFERROR(1-K263/K262,"")</f>
        <v/>
      </c>
      <c r="L264" s="50" t="str">
        <f>IFERROR(1-L263/L262,"")</f>
        <v/>
      </c>
      <c r="M264" s="50"/>
      <c r="N264" s="50"/>
      <c r="O264" s="50" t="str">
        <f>IFERROR(1-O263/O262,"")</f>
        <v/>
      </c>
      <c r="P264" s="50" t="str">
        <f>IFERROR(1-P263/P262,"")</f>
        <v/>
      </c>
      <c r="Q264" s="50" t="str">
        <f>IFERROR(1-Q263/Q262,"")</f>
        <v/>
      </c>
    </row>
    <row r="265" spans="1:17" hidden="1" x14ac:dyDescent="0.3">
      <c r="A265" s="16"/>
      <c r="B265" s="16"/>
      <c r="C265" s="16"/>
      <c r="E265" s="5" t="s">
        <v>3</v>
      </c>
      <c r="F265" s="8" t="e">
        <f>SUM(F28,F51,#REF!)</f>
        <v>#REF!</v>
      </c>
      <c r="G265" s="8" t="e">
        <f>SUM(G28,G51,#REF!)</f>
        <v>#REF!</v>
      </c>
      <c r="H265" s="8" t="e">
        <f>SUM(H28,H51,#REF!)</f>
        <v>#REF!</v>
      </c>
      <c r="I265" s="8" t="e">
        <f>SUM(I28,I51,#REF!)</f>
        <v>#REF!</v>
      </c>
      <c r="J265" s="8" t="e">
        <f>SUM(J28,J51,#REF!)</f>
        <v>#REF!</v>
      </c>
      <c r="K265" s="8" t="e">
        <f>SUM(K28,K51,#REF!)</f>
        <v>#REF!</v>
      </c>
      <c r="L265" s="8" t="e">
        <f>SUM(L28,L51,#REF!)</f>
        <v>#REF!</v>
      </c>
      <c r="M265" s="8"/>
      <c r="N265" s="8"/>
      <c r="O265" s="8" t="e">
        <f>SUM(O28,O51,#REF!)</f>
        <v>#REF!</v>
      </c>
      <c r="P265" s="8" t="e">
        <f>SUM(P28,P51,#REF!)</f>
        <v>#REF!</v>
      </c>
      <c r="Q265" s="8" t="e">
        <f>SUM(Q28,Q51,#REF!,Q94,Q74)</f>
        <v>#REF!</v>
      </c>
    </row>
    <row r="266" spans="1:17" ht="15" hidden="1" customHeight="1" x14ac:dyDescent="0.3">
      <c r="A266" s="16"/>
      <c r="B266" s="16"/>
      <c r="C266" s="16"/>
      <c r="E266" s="5" t="s">
        <v>2</v>
      </c>
      <c r="F266" s="48" t="e">
        <f>F262/((F25/F29)+(F48/F52)+(#REF!/#REF!))</f>
        <v>#REF!</v>
      </c>
      <c r="G266" s="48" t="e">
        <f>G262/((G25/G29)+(G48/G52)+(#REF!/#REF!))</f>
        <v>#REF!</v>
      </c>
      <c r="H266" s="48" t="e">
        <f>H262/((H25/H29)+(H48/H52)+(#REF!/#REF!))</f>
        <v>#REF!</v>
      </c>
      <c r="I266" s="48" t="e">
        <f>I262/((I25/I29)+(I48/I52)+(#REF!/#REF!))</f>
        <v>#REF!</v>
      </c>
      <c r="J266" s="48" t="e">
        <f>J262/((J25/J29)+(J48/J52)+(#REF!/#REF!))</f>
        <v>#REF!</v>
      </c>
      <c r="K266" s="48" t="e">
        <f>K262/((K25/K29)+(K48/K52)+(#REF!/#REF!))</f>
        <v>#REF!</v>
      </c>
      <c r="L266" s="48" t="e">
        <f>L262/((L25/L29)+(L48/L52)+(#REF!/#REF!))</f>
        <v>#REF!</v>
      </c>
      <c r="M266" s="48"/>
      <c r="N266" s="48"/>
      <c r="O266" s="48" t="e">
        <f>O262/((O25/O29)+(O48/O52)+(#REF!/#REF!))</f>
        <v>#REF!</v>
      </c>
      <c r="P266" s="48" t="e">
        <f>P262/((P25/P29)+(P48/P52)+(#REF!/#REF!))</f>
        <v>#REF!</v>
      </c>
      <c r="Q266" s="48" t="e">
        <f>Q262/(($Q$25/$Q$29)+($Q$48/$Q$52)+(#REF!/#REF!)+($Q$91/$Q$95)+($Q$71/$Q$75))</f>
        <v>#REF!</v>
      </c>
    </row>
    <row r="267" spans="1:17" hidden="1" x14ac:dyDescent="0.3">
      <c r="A267" s="16"/>
      <c r="B267" s="16"/>
      <c r="C267" s="16"/>
      <c r="E267" s="5" t="s">
        <v>1</v>
      </c>
      <c r="F267" s="23" t="e">
        <f>SUM(F30,F53,#REF!)</f>
        <v>#REF!</v>
      </c>
      <c r="G267" s="23" t="e">
        <f>SUM(G30,G53,#REF!)</f>
        <v>#REF!</v>
      </c>
      <c r="H267" s="23" t="e">
        <f>SUM(H30,H53,#REF!)</f>
        <v>#REF!</v>
      </c>
      <c r="I267" s="23" t="e">
        <f>SUM(I30,I53,#REF!)</f>
        <v>#REF!</v>
      </c>
      <c r="J267" s="23" t="e">
        <f>SUM(J30,J53,#REF!)</f>
        <v>#REF!</v>
      </c>
      <c r="K267" s="23" t="e">
        <f>SUM(K30,K53,#REF!)</f>
        <v>#REF!</v>
      </c>
      <c r="L267" s="23" t="e">
        <f>SUM(L30,L53,#REF!)</f>
        <v>#REF!</v>
      </c>
      <c r="M267" s="23"/>
      <c r="N267" s="23"/>
      <c r="O267" s="23" t="e">
        <f>SUM(O30,O53,#REF!)</f>
        <v>#REF!</v>
      </c>
      <c r="P267" s="23" t="e">
        <f>SUM(P30,P53,#REF!)</f>
        <v>#REF!</v>
      </c>
      <c r="Q267" s="23" t="e">
        <f>SUM(Q30+Q53+#REF!+Q76+Q96)</f>
        <v>#REF!</v>
      </c>
    </row>
    <row r="268" spans="1:17" hidden="1" x14ac:dyDescent="0.3">
      <c r="A268" s="16"/>
      <c r="B268" s="16"/>
      <c r="C268" s="16"/>
      <c r="E268" s="5" t="s">
        <v>0</v>
      </c>
      <c r="F268" s="23" t="e">
        <f>SUM(F31,F54,#REF!)</f>
        <v>#REF!</v>
      </c>
      <c r="G268" s="23" t="e">
        <f>SUM(G31,G54,#REF!)</f>
        <v>#REF!</v>
      </c>
      <c r="H268" s="23" t="e">
        <f>SUM(H31,H54,#REF!)</f>
        <v>#REF!</v>
      </c>
      <c r="I268" s="23" t="e">
        <f>SUM(I31,I54,#REF!)</f>
        <v>#REF!</v>
      </c>
      <c r="J268" s="23" t="e">
        <f>SUM(J31,J54,#REF!)</f>
        <v>#REF!</v>
      </c>
      <c r="K268" s="23" t="e">
        <f>SUM(K31,K54,#REF!)</f>
        <v>#REF!</v>
      </c>
      <c r="L268" s="23" t="e">
        <f>SUM(L31,L54,#REF!)</f>
        <v>#REF!</v>
      </c>
      <c r="M268" s="23"/>
      <c r="N268" s="23"/>
      <c r="O268" s="23" t="e">
        <f>SUM(O31,O54,#REF!)</f>
        <v>#REF!</v>
      </c>
      <c r="P268" s="23" t="e">
        <f>SUM(P31,P54,#REF!)</f>
        <v>#REF!</v>
      </c>
      <c r="Q268" s="23" t="e">
        <f>SUM(Q31+Q54+#REF!+Q77+Q97)</f>
        <v>#REF!</v>
      </c>
    </row>
    <row r="269" spans="1:17" hidden="1" x14ac:dyDescent="0.3">
      <c r="A269" s="16"/>
      <c r="B269" s="16"/>
      <c r="C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</row>
    <row r="270" spans="1:17" hidden="1" x14ac:dyDescent="0.3">
      <c r="A270" s="16"/>
      <c r="B270" s="16"/>
      <c r="C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</row>
    <row r="271" spans="1:17" hidden="1" x14ac:dyDescent="0.3">
      <c r="A271" s="16"/>
      <c r="B271" s="16"/>
      <c r="C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</row>
    <row r="272" spans="1:17" hidden="1" x14ac:dyDescent="0.3">
      <c r="A272" s="16"/>
      <c r="B272" s="16"/>
      <c r="C272" s="16"/>
      <c r="E272" s="15" t="s">
        <v>33</v>
      </c>
      <c r="F272" s="51" t="s">
        <v>32</v>
      </c>
      <c r="G272" s="51" t="s">
        <v>31</v>
      </c>
      <c r="H272" s="51" t="s">
        <v>30</v>
      </c>
      <c r="I272" s="51" t="s">
        <v>29</v>
      </c>
      <c r="J272" s="51" t="s">
        <v>28</v>
      </c>
      <c r="K272" s="51" t="s">
        <v>27</v>
      </c>
      <c r="L272" s="51" t="s">
        <v>26</v>
      </c>
      <c r="M272" s="51"/>
      <c r="N272" s="51"/>
      <c r="O272" s="51" t="s">
        <v>23</v>
      </c>
      <c r="P272" s="51" t="s">
        <v>22</v>
      </c>
      <c r="Q272" s="51" t="s">
        <v>21</v>
      </c>
    </row>
    <row r="273" spans="1:17" hidden="1" x14ac:dyDescent="0.3">
      <c r="A273" s="16"/>
      <c r="B273" s="16"/>
      <c r="C273" s="16"/>
      <c r="E273" s="5" t="s">
        <v>44</v>
      </c>
      <c r="F273" s="8" t="e">
        <f>SUM(#REF!,#REF!,#REF!)</f>
        <v>#REF!</v>
      </c>
      <c r="G273" s="8" t="e">
        <f>SUM(#REF!,#REF!,#REF!)</f>
        <v>#REF!</v>
      </c>
      <c r="H273" s="8" t="e">
        <f>SUM(#REF!,#REF!,#REF!)</f>
        <v>#REF!</v>
      </c>
      <c r="I273" s="8" t="e">
        <f>SUM(#REF!,#REF!,#REF!)</f>
        <v>#REF!</v>
      </c>
      <c r="J273" s="8" t="e">
        <f>SUM(#REF!,#REF!,#REF!)</f>
        <v>#REF!</v>
      </c>
      <c r="K273" s="8" t="e">
        <f>SUM(#REF!,#REF!,#REF!)</f>
        <v>#REF!</v>
      </c>
      <c r="L273" s="8" t="e">
        <f>SUM(#REF!,#REF!,#REF!)</f>
        <v>#REF!</v>
      </c>
      <c r="M273" s="8"/>
      <c r="N273" s="8"/>
      <c r="O273" s="8" t="e">
        <f>SUM(#REF!,#REF!,#REF!)</f>
        <v>#REF!</v>
      </c>
      <c r="P273" s="8" t="e">
        <f>SUM(#REF!,#REF!,#REF!)</f>
        <v>#REF!</v>
      </c>
      <c r="Q273" s="8" t="e">
        <f>SUM(#REF!,#REF!,#REF!)</f>
        <v>#REF!</v>
      </c>
    </row>
    <row r="274" spans="1:17" hidden="1" x14ac:dyDescent="0.3">
      <c r="E274" s="5" t="s">
        <v>39</v>
      </c>
      <c r="F274" s="8" t="e">
        <f>SUM(#REF!,#REF!,#REF!)</f>
        <v>#REF!</v>
      </c>
      <c r="G274" s="8" t="e">
        <f>SUM(#REF!,#REF!,#REF!)</f>
        <v>#REF!</v>
      </c>
      <c r="H274" s="8" t="e">
        <f>SUM(#REF!,#REF!,#REF!)</f>
        <v>#REF!</v>
      </c>
      <c r="I274" s="8" t="e">
        <f>SUM(#REF!,#REF!,#REF!)</f>
        <v>#REF!</v>
      </c>
      <c r="J274" s="8" t="e">
        <f>SUM(#REF!,#REF!,#REF!)</f>
        <v>#REF!</v>
      </c>
      <c r="K274" s="8" t="e">
        <f>SUM(#REF!,#REF!,#REF!)</f>
        <v>#REF!</v>
      </c>
      <c r="L274" s="8" t="e">
        <f>SUM(#REF!,#REF!,#REF!)</f>
        <v>#REF!</v>
      </c>
      <c r="M274" s="8"/>
      <c r="N274" s="8"/>
      <c r="O274" s="8" t="e">
        <f>SUM(#REF!,#REF!,#REF!)</f>
        <v>#REF!</v>
      </c>
      <c r="P274" s="8" t="e">
        <f>SUM(#REF!,#REF!,#REF!)</f>
        <v>#REF!</v>
      </c>
      <c r="Q274" s="8" t="e">
        <f>SUM(#REF!,#REF!,#REF!)</f>
        <v>#REF!</v>
      </c>
    </row>
    <row r="275" spans="1:17" x14ac:dyDescent="0.3">
      <c r="E275" s="5" t="s">
        <v>14</v>
      </c>
      <c r="F275" s="50">
        <v>6.7445266438844867E-2</v>
      </c>
      <c r="G275" s="50">
        <f>G237/F234</f>
        <v>5.8139979846167582E-2</v>
      </c>
      <c r="H275" s="50">
        <f>H237/G234</f>
        <v>0.10482612144630109</v>
      </c>
      <c r="I275" s="50">
        <f>IFERROR(I237/H234,0)</f>
        <v>8.5702312881030585E-2</v>
      </c>
      <c r="J275" s="50">
        <f>IFERROR(J237/I234,0)</f>
        <v>6.6268822427312468E-2</v>
      </c>
      <c r="K275" s="50">
        <f>IFERROR(K237/J234,0)</f>
        <v>7.2685788787483704E-2</v>
      </c>
      <c r="L275" s="50">
        <f>IFERROR(L237/K234,0)</f>
        <v>0.14508403855195109</v>
      </c>
      <c r="M275" s="50">
        <f>IFERROR(M237/L234,0)</f>
        <v>0.10860016654964649</v>
      </c>
      <c r="N275" s="50">
        <f>IFERROR(N237/M234,0)</f>
        <v>8.7755594634667769E-2</v>
      </c>
      <c r="O275" s="50">
        <f>IFERROR(O237/N234,0)</f>
        <v>5.1156106168931577E-2</v>
      </c>
      <c r="P275" s="50">
        <f>IFERROR(P237/O234,0)</f>
        <v>4.6416677642100508E-2</v>
      </c>
      <c r="Q275" s="50">
        <f>IFERROR(Q237/P234,0)</f>
        <v>4.425170198853802E-2</v>
      </c>
    </row>
    <row r="276" spans="1:17" x14ac:dyDescent="0.3">
      <c r="E276" s="5" t="s">
        <v>13</v>
      </c>
      <c r="F276" s="8">
        <f>SUM(F88,F65,F42,F19,F126,F164)</f>
        <v>1913</v>
      </c>
      <c r="G276" s="8">
        <f>SUM(G88,G65,G42,G19,G126,G164)</f>
        <v>1634</v>
      </c>
      <c r="H276" s="8">
        <f>SUM(H88,H65,H42,H19,H126,H164)</f>
        <v>1886</v>
      </c>
      <c r="I276" s="8">
        <f>SUM(I88,I65,I42,I19,I126,I164)</f>
        <v>1989</v>
      </c>
      <c r="J276" s="8">
        <f>SUM(J88,J65,J42,J19,J126,J164)</f>
        <v>2338</v>
      </c>
      <c r="K276" s="8">
        <f>SUM(K88,K65,K42,K19,K126,K164)</f>
        <v>2347</v>
      </c>
      <c r="L276" s="8">
        <f>SUM(L88,L65,L42,L19,L126,L164)</f>
        <v>1948</v>
      </c>
      <c r="M276" s="8">
        <f>SUM(M88,M65,M42,M19,M126,M164)</f>
        <v>1784</v>
      </c>
      <c r="N276" s="8">
        <f>SUM(N88,N65,N42,N19,N126,N164,N201)</f>
        <v>3022</v>
      </c>
      <c r="O276" s="8">
        <f>SUM(O88,O65,O42,O19,O126,O164,O201)</f>
        <v>1350</v>
      </c>
      <c r="P276" s="8">
        <f>SUM(P88,P65,P42,P19,P126,P164,P201)</f>
        <v>1143</v>
      </c>
      <c r="Q276" s="8">
        <f>SUM(Q88,Q65,Q42,Q19,Q126,Q164,Q201)</f>
        <v>931</v>
      </c>
    </row>
    <row r="277" spans="1:17" x14ac:dyDescent="0.3">
      <c r="E277" s="5" t="s">
        <v>12</v>
      </c>
      <c r="F277" s="8">
        <f>SUM(F89,F66,F43,F20,F127,F165)</f>
        <v>2628</v>
      </c>
      <c r="G277" s="8">
        <f>SUM(G89,G66,G43,G20,G127,G165)</f>
        <v>1830</v>
      </c>
      <c r="H277" s="8">
        <f>SUM(H89,H66,H43,H20,H127,H165)</f>
        <v>3622</v>
      </c>
      <c r="I277" s="8">
        <f>SUM(I89,I66,I43,I20,I127,I165)</f>
        <v>2695</v>
      </c>
      <c r="J277" s="8">
        <f>SUM(J89,J66,J43,J20,J127,J165)</f>
        <v>1503</v>
      </c>
      <c r="K277" s="8">
        <f>SUM(K89,K66,K43,K20,K127,K165)</f>
        <v>1993</v>
      </c>
      <c r="L277" s="8">
        <f>SUM(L89,L66,L43,L20,L127,L165)</f>
        <v>4642</v>
      </c>
      <c r="M277" s="8">
        <f>SUM(M89,M66,M43,M20,M127,M165)</f>
        <v>3286</v>
      </c>
      <c r="N277" s="8">
        <f>SUM(N89,N66,N43,N20,N127,N165,N202)</f>
        <v>1399</v>
      </c>
      <c r="O277" s="8">
        <f>SUM(O89,O66,O43,O20,O127,O165,O202)</f>
        <v>1003</v>
      </c>
      <c r="P277" s="8">
        <f>SUM(P89,P66,P43,P20,P127,P165,P202)</f>
        <v>888</v>
      </c>
      <c r="Q277" s="8">
        <f>SUM(Q89,Q66,Q43,Q20,Q127,Q165,Q202)</f>
        <v>908</v>
      </c>
    </row>
    <row r="278" spans="1:17" x14ac:dyDescent="0.3">
      <c r="E278" s="5" t="s">
        <v>11</v>
      </c>
      <c r="F278" s="8">
        <f>SUM(F105,F67,F44,F21,F143,F181)</f>
        <v>688</v>
      </c>
      <c r="G278" s="8">
        <f>SUM(G105,G67,G44,G21,G143,G181)</f>
        <v>898</v>
      </c>
      <c r="H278" s="8">
        <f>SUM(H105,H67,H44,H21,H143,H181)</f>
        <v>2443</v>
      </c>
      <c r="I278" s="8">
        <f>SUM(I105,I67,I44,I21,I143,I181)</f>
        <v>1573</v>
      </c>
      <c r="J278" s="8">
        <f>SUM(J105,J67,J44,J21,J143,J181)</f>
        <v>877</v>
      </c>
      <c r="K278" s="8">
        <f>SUM(K105,K67,K44,K21,K143,K181)</f>
        <v>733</v>
      </c>
      <c r="L278" s="8">
        <f>SUM(L105,L67,L44,L21,L143,L181)</f>
        <v>3263</v>
      </c>
      <c r="M278" s="8">
        <f>SUM(M105,M67,M44,M21,M143,M181)</f>
        <v>1524</v>
      </c>
      <c r="N278" s="8">
        <f>SUM(N105,N67,N44,N21,N143,N181,N218)</f>
        <v>550</v>
      </c>
      <c r="O278" s="8">
        <f>SUM(O105,O67,O44,O21,O143,O181,O218)</f>
        <v>401</v>
      </c>
      <c r="P278" s="8">
        <f>SUM(P105,P67,P44,P21,P143,P181,P218)</f>
        <v>372</v>
      </c>
      <c r="Q278" s="8">
        <f>SUM(Q105,Q67,Q44,Q21,Q143,Q181,Q218)</f>
        <v>268</v>
      </c>
    </row>
    <row r="279" spans="1:17" hidden="1" x14ac:dyDescent="0.3">
      <c r="E279" s="5" t="s">
        <v>48</v>
      </c>
      <c r="F279" s="8">
        <f>SUM(F144,F106,F68,F45,F22,F182)</f>
        <v>31</v>
      </c>
      <c r="G279" s="8">
        <f>SUM(G144,G106,G68,G45,G22,G182)</f>
        <v>114</v>
      </c>
      <c r="H279" s="8">
        <f>SUM(H144,H106,H68,H45,H22,H182)</f>
        <v>127</v>
      </c>
      <c r="I279" s="8">
        <f>SUM(I144,I106,I68,I45,I22,I182)</f>
        <v>0</v>
      </c>
      <c r="J279" s="8">
        <f>SUM(J144,J106,J68,J45,J22,J182)</f>
        <v>0</v>
      </c>
      <c r="K279" s="8">
        <f>SUM(K144,K106,K68,K45,K22,K182)</f>
        <v>0</v>
      </c>
      <c r="L279" s="8">
        <f>SUM(L144,L106,L68,L45,L22,L182)</f>
        <v>0</v>
      </c>
      <c r="M279" s="8">
        <f>SUM(M144,M106,M68,M45,M22,M182)</f>
        <v>0</v>
      </c>
      <c r="N279" s="8">
        <f>SUM(N144,N106,N68,N45,N22,N182)</f>
        <v>0</v>
      </c>
      <c r="O279" s="8">
        <f>SUM(O144,O106,O68,O45,O22,O182)</f>
        <v>0</v>
      </c>
      <c r="P279" s="8">
        <f>SUM(P144,P106,P68,P45,P22,P182)</f>
        <v>0</v>
      </c>
      <c r="Q279" s="8">
        <f>SUM(Q144,Q106,Q68,Q45,Q22,Q182)</f>
        <v>0</v>
      </c>
    </row>
    <row r="280" spans="1:17" x14ac:dyDescent="0.3">
      <c r="E280" s="5" t="s">
        <v>47</v>
      </c>
      <c r="F280" s="8">
        <f>SUM(F107,F69,F46,F23,F145,F183)</f>
        <v>17</v>
      </c>
      <c r="G280" s="8">
        <f>SUM(G107,G69,G46,G23,G145,G183)</f>
        <v>13</v>
      </c>
      <c r="H280" s="8">
        <f>SUM(H107,H69,H46,H23,H145,H183)</f>
        <v>3</v>
      </c>
      <c r="I280" s="8">
        <f>SUM(I107,I69,I46,I23,I145,I183)</f>
        <v>0</v>
      </c>
      <c r="J280" s="8">
        <f>SUM(J107,J69,J46,J23,J145,J183)</f>
        <v>0</v>
      </c>
      <c r="K280" s="8">
        <f>SUM(K107,K69,K46,K23,K145,K183)</f>
        <v>7</v>
      </c>
      <c r="L280" s="8">
        <f>SUM(L107,L69,L46,L23,L145,L183)</f>
        <v>2</v>
      </c>
      <c r="M280" s="8">
        <f>SUM(M107,M69,M46,M23,M145,M183)</f>
        <v>9</v>
      </c>
      <c r="N280" s="8">
        <f>SUM(N107,N69,N46,N23,N145,N183,N220)</f>
        <v>4</v>
      </c>
      <c r="O280" s="8">
        <f>SUM(O107,O69,O46,O23,O145,O183,O220)</f>
        <v>4</v>
      </c>
      <c r="P280" s="8">
        <f>SUM(P107,P69,P46,P23,P145,P183,P220)</f>
        <v>7</v>
      </c>
      <c r="Q280" s="8">
        <f>SUM(Q107,Q69,Q46,Q23,Q145,Q183,Q220)</f>
        <v>16</v>
      </c>
    </row>
    <row r="281" spans="1:17" x14ac:dyDescent="0.3">
      <c r="E281" s="25" t="s">
        <v>46</v>
      </c>
      <c r="F281" s="8">
        <f>SUM(F108,F70,F47,F24,F146,F184)</f>
        <v>111</v>
      </c>
      <c r="G281" s="8">
        <f>SUM(G108,G70,G47,G24,G146,G184)</f>
        <v>69</v>
      </c>
      <c r="H281" s="8">
        <f>SUM(H108,H70,H47,H24,H146,H184)</f>
        <v>112</v>
      </c>
      <c r="I281" s="8">
        <f>SUM(I108,I70,I47,I24,I146,I184)</f>
        <v>83</v>
      </c>
      <c r="J281" s="8">
        <f>SUM(J108,J70,J47,J24,J146,J184)</f>
        <v>57</v>
      </c>
      <c r="K281" s="8">
        <f>SUM(K108,K70,K47,K24,K146,K184)</f>
        <v>49</v>
      </c>
      <c r="L281" s="8">
        <f>SUM(L108,L70,L47,L24,L146,L184)</f>
        <v>20</v>
      </c>
      <c r="M281" s="8">
        <f>SUM(M108,M70,M47,M24,M146,M184)</f>
        <v>48</v>
      </c>
      <c r="N281" s="8">
        <f>SUM(N108,N70,N47,N24,N146,N184,N221)</f>
        <v>115</v>
      </c>
      <c r="O281" s="8">
        <f>SUM(O108,O70,O47,O24,O146,O184,O221)</f>
        <v>54</v>
      </c>
      <c r="P281" s="8">
        <f>SUM(P108,P70,P47,P24,P146,P184,P221)</f>
        <v>57</v>
      </c>
      <c r="Q281" s="8">
        <f>SUM(Q108,Q70,Q47,Q24,Q146,Q184,Q221)</f>
        <v>178</v>
      </c>
    </row>
    <row r="282" spans="1:17" x14ac:dyDescent="0.3">
      <c r="E282" s="5" t="s">
        <v>7</v>
      </c>
      <c r="F282" s="38">
        <v>49227827</v>
      </c>
      <c r="G282" s="38">
        <v>49407729</v>
      </c>
      <c r="H282" s="38">
        <v>51545008</v>
      </c>
      <c r="I282" s="38">
        <v>51734546</v>
      </c>
      <c r="J282" s="38">
        <v>52174021</v>
      </c>
      <c r="K282" s="38">
        <v>51259337</v>
      </c>
      <c r="L282" s="38">
        <v>55314582</v>
      </c>
      <c r="M282" s="38">
        <v>56464639</v>
      </c>
      <c r="N282" s="38">
        <v>57688283</v>
      </c>
      <c r="O282" s="38">
        <v>58611472</v>
      </c>
      <c r="P282" s="38">
        <v>59702716</v>
      </c>
      <c r="Q282" s="38">
        <v>59608302</v>
      </c>
    </row>
    <row r="283" spans="1:17" x14ac:dyDescent="0.3">
      <c r="E283" s="5" t="s">
        <v>6</v>
      </c>
      <c r="F283" s="24">
        <f>SUM(F109,F71,F48,F25,F147,F185)</f>
        <v>48640050.37999472</v>
      </c>
      <c r="G283" s="24">
        <f>SUM(G109,G71,G48,G25,G147,G185)</f>
        <v>48248119.4533346</v>
      </c>
      <c r="H283" s="24">
        <f>SUM(H109,H71,H48,H25,H147,H185)</f>
        <v>46723430.550000273</v>
      </c>
      <c r="I283" s="24">
        <f>SUM(I109,I71,I48,I25,I147,I185)</f>
        <v>47571747.210000321</v>
      </c>
      <c r="J283" s="24">
        <f>SUM(J109,J71,J48,J25,J147,J185)</f>
        <v>42830577.380001828</v>
      </c>
      <c r="K283" s="24">
        <f>SUM(K109,K71,K48,K25,K147,K185)</f>
        <v>41370188.090001442</v>
      </c>
      <c r="L283" s="24">
        <f>SUM(L109,L71,L48,L25,L147,L185)</f>
        <v>43889550.510001004</v>
      </c>
      <c r="M283" s="24">
        <f>SUM(M109,M71,M48,M25,M147,M185)</f>
        <v>40643587.940000869</v>
      </c>
      <c r="N283" s="24">
        <f>SUM(N109,N71,N48,N25,N147,N185,N222)</f>
        <v>38557836.380000681</v>
      </c>
      <c r="O283" s="24">
        <f>SUM(O109,O71,O48,O25,O147,O185,O222)</f>
        <v>37364246.750000678</v>
      </c>
      <c r="P283" s="24">
        <f>SUM(P109,P71,P48,P25,P147,P185,P222)</f>
        <v>36733978.020000748</v>
      </c>
      <c r="Q283" s="24">
        <f>SUM(Q109,Q71,Q48,Q25,Q147,Q185,Q222)</f>
        <v>36130415.240000561</v>
      </c>
    </row>
    <row r="284" spans="1:17" x14ac:dyDescent="0.3">
      <c r="E284" s="5" t="s">
        <v>5</v>
      </c>
      <c r="F284" s="49">
        <f>SUM(F110,F72,F49,F26,F148,F186)</f>
        <v>44943450.349994607</v>
      </c>
      <c r="G284" s="49">
        <f>SUM(G110,G72,G49,G26,G148,G186)</f>
        <v>42480923.739994138</v>
      </c>
      <c r="H284" s="49">
        <f>SUM(H110,H72,H49,H26,H148,H186)</f>
        <v>42253319.010000236</v>
      </c>
      <c r="I284" s="49">
        <f>SUM(I110,I72,I49,I26,I148,I186)</f>
        <v>38607451.839999974</v>
      </c>
      <c r="J284" s="49">
        <f>SUM(J110,J72,J49,J26,J148,J186)</f>
        <v>36708982.700001791</v>
      </c>
      <c r="K284" s="49">
        <f>SUM(K110,K72,K49,K26,K148,K186)</f>
        <v>37052271.090001464</v>
      </c>
      <c r="L284" s="49">
        <f>SUM(L110,L72,L49,L26,L148,L186)</f>
        <v>36796134.340000898</v>
      </c>
      <c r="M284" s="49">
        <f>SUM(M110,M72,M49,M26,M148,M186)</f>
        <v>36241494.930000842</v>
      </c>
      <c r="N284" s="49">
        <f>SUM(N110,N72,N49,N26,N148,N186,N223)</f>
        <v>34502143.290000685</v>
      </c>
      <c r="O284" s="49">
        <f>SUM(O110,O72,O49,O26,O148,O186,O223)</f>
        <v>33777475.540000685</v>
      </c>
      <c r="P284" s="49">
        <f>SUM(P110,P72,P49,P26,P148,P186,P223)</f>
        <v>33219457.620000761</v>
      </c>
      <c r="Q284" s="49">
        <f>SUM(Q110,Q72,Q49,Q26,Q148,Q186,Q223)</f>
        <v>33089764.350000579</v>
      </c>
    </row>
    <row r="285" spans="1:17" x14ac:dyDescent="0.3">
      <c r="E285" s="5" t="s">
        <v>4</v>
      </c>
      <c r="F285" s="9">
        <f>IFERROR((1-F284/F283),0)</f>
        <v>7.5999099530548508E-2</v>
      </c>
      <c r="G285" s="9">
        <f>IFERROR((1-G284/G283),0)</f>
        <v>0.11953203106534482</v>
      </c>
      <c r="H285" s="9">
        <f>IFERROR((1-H284/H283),0)</f>
        <v>9.5671732306051971E-2</v>
      </c>
      <c r="I285" s="9">
        <f>IFERROR((1-I284/I283),0)</f>
        <v>0.18843737923747972</v>
      </c>
      <c r="J285" s="9">
        <f>IFERROR((1-J284/J283),0)</f>
        <v>0.14292580335044214</v>
      </c>
      <c r="K285" s="9">
        <f>IFERROR((1-K284/K283),0)</f>
        <v>0.10437267025729458</v>
      </c>
      <c r="L285" s="9">
        <f>IFERROR((1-L284/L283),0)</f>
        <v>0.1616197041795574</v>
      </c>
      <c r="M285" s="9">
        <f>IFERROR((1-M284/M283),0)</f>
        <v>0.10830965554759864</v>
      </c>
      <c r="N285" s="9">
        <f>IFERROR((1-N284/N283),0)</f>
        <v>0.10518466466919341</v>
      </c>
      <c r="O285" s="9">
        <f>IFERROR((1-O284/O283),0)</f>
        <v>9.5994741550622265E-2</v>
      </c>
      <c r="P285" s="9">
        <f>IFERROR((1-P284/P283),0)</f>
        <v>9.5674919772816835E-2</v>
      </c>
      <c r="Q285" s="9">
        <f>IFERROR((1-Q284/Q283),0)</f>
        <v>8.4157651380480925E-2</v>
      </c>
    </row>
    <row r="286" spans="1:17" x14ac:dyDescent="0.3">
      <c r="E286" s="5" t="s">
        <v>3</v>
      </c>
      <c r="F286" s="8">
        <f>SUM(F150,F112,F74,F51,F28,F188)</f>
        <v>3605</v>
      </c>
      <c r="G286" s="8">
        <f>SUM(G150,G112,G74,G51,G28,G188)</f>
        <v>3442</v>
      </c>
      <c r="H286" s="8">
        <f>SUM(H150,H112,H74,H51,H28,H188)</f>
        <v>4123</v>
      </c>
      <c r="I286" s="8">
        <f>SUM(I150,I112,I74,I51,I28,I188)</f>
        <v>4323</v>
      </c>
      <c r="J286" s="8">
        <f>SUM(J150,J112,J74,J51,J28,J188)</f>
        <v>3153</v>
      </c>
      <c r="K286" s="8">
        <f>SUM(K150,K112,K74,K51,K28,K188)</f>
        <v>2811</v>
      </c>
      <c r="L286" s="8">
        <f>SUM(L150,L112,L74,L51,L28,L188)</f>
        <v>3795</v>
      </c>
      <c r="M286" s="8">
        <f>SUM(M150,M112,M74,M51,M28,M188)</f>
        <v>3407</v>
      </c>
      <c r="N286" s="8">
        <f>SUM(N150,N112,N74,N51,N28,N188,N225)</f>
        <v>2233</v>
      </c>
      <c r="O286" s="8">
        <f>SUM(O150,O112,O74,O51,O28,O188,O225)</f>
        <v>1230</v>
      </c>
      <c r="P286" s="8">
        <f>SUM(P150,P112,P74,P51,P28,P188,P225)</f>
        <v>1358</v>
      </c>
      <c r="Q286" s="8">
        <f>SUM(Q150,Q112,Q74,Q51,Q28,Q188,Q225)</f>
        <v>1758</v>
      </c>
    </row>
    <row r="287" spans="1:17" x14ac:dyDescent="0.3">
      <c r="E287" s="5" t="s">
        <v>2</v>
      </c>
      <c r="F287" s="48">
        <f>F283/F234</f>
        <v>620.43254690861534</v>
      </c>
      <c r="G287" s="48">
        <f>G283/G234</f>
        <v>617.31517507273213</v>
      </c>
      <c r="H287" s="48">
        <f>H283/H234</f>
        <v>631.59401638347424</v>
      </c>
      <c r="I287" s="48">
        <f>IFERROR(I283/I234,0)</f>
        <v>660.2143808202112</v>
      </c>
      <c r="J287" s="48">
        <f>IFERROR(J283/J234,0)</f>
        <v>606.97490760163578</v>
      </c>
      <c r="K287" s="48">
        <f>IFERROR(K283/K234,0)</f>
        <v>607.81305962037845</v>
      </c>
      <c r="L287" s="48">
        <f>IFERROR(L283/L234,0)</f>
        <v>716.64599235832668</v>
      </c>
      <c r="M287" s="48">
        <f>IFERROR(M283/M234,0)</f>
        <v>700.72735319473236</v>
      </c>
      <c r="N287" s="48">
        <f>IFERROR(N283/N234,0)</f>
        <v>701.4469315432458</v>
      </c>
      <c r="O287" s="48">
        <f>IFERROR(O283/O234,0)</f>
        <v>703.00940281097814</v>
      </c>
      <c r="P287" s="48">
        <f>IFERROR(P283/P234,0)</f>
        <v>706.4498253779135</v>
      </c>
      <c r="Q287" s="48">
        <f>IFERROR(Q283/Q234,0)</f>
        <v>702.14772023243802</v>
      </c>
    </row>
    <row r="288" spans="1:17" x14ac:dyDescent="0.3">
      <c r="E288" s="5" t="s">
        <v>1</v>
      </c>
      <c r="F288" s="23">
        <f>SUM(F114,F76,F53,F30,F152,F190,F227)</f>
        <v>1367532.2783496866</v>
      </c>
      <c r="G288" s="23">
        <f>SUM(G114,G76,G53,G30,G152,G190,G227)</f>
        <v>1178853.9354270007</v>
      </c>
      <c r="H288" s="23">
        <f>SUM(H114,H76,H53,H30,H152,H190,H227)</f>
        <v>1241662.2263756655</v>
      </c>
      <c r="I288" s="23">
        <f>SUM(I114,I76,I53,I30,I152,I190,I227)</f>
        <v>1272566.8047700063</v>
      </c>
      <c r="J288" s="23">
        <f>SUM(J114,J76,J53,J30,J152,J190,J227)</f>
        <v>1061887.6000309996</v>
      </c>
      <c r="K288" s="23">
        <f>SUM(K114,K76,K53,K30,K152,K190,K227)</f>
        <v>1068992.3950070019</v>
      </c>
      <c r="L288" s="23">
        <f>SUM(L114,L76,L53,L30,L152,L190,L227)</f>
        <v>949938.65989800077</v>
      </c>
      <c r="M288" s="23">
        <f>SUM(M114,M76,M53,M30,M152,M190,M227)</f>
        <v>963238.25676600216</v>
      </c>
      <c r="N288" s="23">
        <f>SUM(N114,N76,N53,N30,N152,N190,N227)</f>
        <v>979731.67347900092</v>
      </c>
      <c r="O288" s="23">
        <f>SUM(O114,O76,O53,O30,O152,O190,O227)</f>
        <v>861940.8198266679</v>
      </c>
      <c r="P288" s="23">
        <f>SUM(P114,P76,P53,P30,P152,P190)</f>
        <v>762252.45672400098</v>
      </c>
      <c r="Q288" s="23">
        <f>SUM(Q114,Q76,Q53,Q30,Q152,Q190)</f>
        <v>759497.42773300072</v>
      </c>
    </row>
    <row r="289" spans="5:17" x14ac:dyDescent="0.3">
      <c r="E289" s="5" t="s">
        <v>0</v>
      </c>
      <c r="F289" s="23">
        <f>SUM(F115,F77,F54,F31,F153,F191,F228)</f>
        <v>835680.7300000001</v>
      </c>
      <c r="G289" s="23">
        <f>SUM(G115,G77,G54,G31,G153,G191,G228)</f>
        <v>883319.3600000001</v>
      </c>
      <c r="H289" s="23">
        <f>SUM(H115,H77,H54,H31,H153,H191,H228)</f>
        <v>1189429.94</v>
      </c>
      <c r="I289" s="23">
        <f>SUM(I115,I77,I54,I31,I153,I191,I228)</f>
        <v>1103117.03</v>
      </c>
      <c r="J289" s="23">
        <f>SUM(J115,J77,J54,J31,J153,J191,J228)</f>
        <v>1225374.3700000001</v>
      </c>
      <c r="K289" s="23">
        <f>SUM(K115,K77,K54,K31,K153,K191,K228)</f>
        <v>1169769.98</v>
      </c>
      <c r="L289" s="23">
        <f>SUM(L115,L77,L54,L31,L153,L191,L228)</f>
        <v>831837.19</v>
      </c>
      <c r="M289" s="23">
        <f>SUM(M115,M77,M54,M31,M153,M191,M228)</f>
        <v>1081097.3400000001</v>
      </c>
      <c r="N289" s="23">
        <f>SUM(N115,N77,N54,N31,N153,N191,N228)</f>
        <v>685281.55</v>
      </c>
      <c r="O289" s="23">
        <f>SUM(O115,O77,O54,O31,O153,O191,O228)</f>
        <v>362189.88</v>
      </c>
      <c r="P289" s="23">
        <f>SUM(P115,P77,P54,P31,P153,P191)</f>
        <v>456020</v>
      </c>
      <c r="Q289" s="23">
        <f>SUM(Q115,Q77,Q54,Q31,Q153,Q191)</f>
        <v>0</v>
      </c>
    </row>
    <row r="290" spans="5:17" s="2" customFormat="1" ht="5.4" customHeight="1" x14ac:dyDescent="0.3"/>
    <row r="291" spans="5:17" x14ac:dyDescent="0.3">
      <c r="F291" s="44"/>
      <c r="J291" s="6"/>
      <c r="L291" s="47"/>
      <c r="O291" s="46"/>
      <c r="P291" s="45"/>
    </row>
    <row r="292" spans="5:17" x14ac:dyDescent="0.3">
      <c r="F292" s="6"/>
      <c r="G292" s="6"/>
      <c r="H292" s="6"/>
      <c r="I292" s="6"/>
      <c r="M292" s="6"/>
      <c r="N292" s="6"/>
      <c r="O292" s="46"/>
      <c r="P292" s="45"/>
    </row>
    <row r="293" spans="5:17" x14ac:dyDescent="0.3">
      <c r="F293" s="44"/>
      <c r="P293" s="45"/>
    </row>
    <row r="294" spans="5:17" x14ac:dyDescent="0.3">
      <c r="F294" s="44"/>
      <c r="G294" s="44"/>
      <c r="H294" s="44"/>
      <c r="I294" s="44"/>
      <c r="J294" s="44"/>
      <c r="L294" s="6"/>
      <c r="M294" s="6"/>
      <c r="N294" s="6"/>
    </row>
    <row r="295" spans="5:17" x14ac:dyDescent="0.3">
      <c r="F295" s="44"/>
      <c r="G295" s="44"/>
      <c r="H295" s="44"/>
      <c r="I295" s="44"/>
      <c r="J295" s="44"/>
      <c r="L295" s="6"/>
      <c r="M295" s="6"/>
      <c r="N295" s="6"/>
    </row>
    <row r="296" spans="5:17" x14ac:dyDescent="0.3">
      <c r="F296" s="44"/>
      <c r="L296" s="6"/>
      <c r="M296" s="6"/>
      <c r="N296" s="6"/>
    </row>
    <row r="297" spans="5:17" x14ac:dyDescent="0.3">
      <c r="F297" s="44"/>
      <c r="G297" s="44"/>
      <c r="L297" s="6"/>
      <c r="M297" s="6"/>
    </row>
    <row r="298" spans="5:17" x14ac:dyDescent="0.3">
      <c r="F298" s="44"/>
      <c r="L298" s="6"/>
      <c r="M298" s="6"/>
    </row>
    <row r="299" spans="5:17" x14ac:dyDescent="0.3">
      <c r="L299" s="6"/>
      <c r="M299" s="6"/>
    </row>
    <row r="300" spans="5:17" x14ac:dyDescent="0.3">
      <c r="L300" s="6"/>
      <c r="M300" s="6"/>
    </row>
    <row r="304" spans="5:17" x14ac:dyDescent="0.3">
      <c r="K304" s="43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E0A1-0D35-43FC-A8E1-029D50611C92}">
  <sheetPr codeName="Planilha10">
    <tabColor theme="3" tint="-0.499984740745262"/>
  </sheetPr>
  <dimension ref="A1:T251"/>
  <sheetViews>
    <sheetView zoomScale="80" zoomScaleNormal="80" workbookViewId="0">
      <selection activeCell="N39" sqref="N39"/>
    </sheetView>
  </sheetViews>
  <sheetFormatPr defaultColWidth="13.88671875" defaultRowHeight="14.4" x14ac:dyDescent="0.3"/>
  <cols>
    <col min="1" max="3" width="9.33203125" style="1" customWidth="1"/>
    <col min="4" max="4" width="0.88671875" style="2" customWidth="1"/>
    <col min="5" max="5" width="30.109375" style="1" bestFit="1" customWidth="1"/>
    <col min="6" max="9" width="15.44140625" style="1" bestFit="1" customWidth="1"/>
    <col min="10" max="10" width="14.109375" style="1" bestFit="1" customWidth="1"/>
    <col min="11" max="12" width="15.5546875" style="1" bestFit="1" customWidth="1"/>
    <col min="13" max="13" width="18" style="1" customWidth="1"/>
    <col min="14" max="14" width="16.6640625" style="1" bestFit="1" customWidth="1"/>
    <col min="15" max="15" width="15.5546875" style="1" bestFit="1" customWidth="1"/>
    <col min="16" max="16" width="15.109375" style="1" bestFit="1" customWidth="1"/>
    <col min="17" max="17" width="14.88671875" style="1" bestFit="1" customWidth="1"/>
    <col min="18" max="18" width="0.88671875" style="2" customWidth="1"/>
    <col min="19" max="20" width="13.88671875" style="28" bestFit="1" customWidth="1"/>
    <col min="21" max="21" width="13.88671875" style="1" bestFit="1" customWidth="1"/>
    <col min="22" max="16384" width="13.88671875" style="1"/>
  </cols>
  <sheetData>
    <row r="1" spans="1:20" s="28" customFormat="1" x14ac:dyDescent="0.3">
      <c r="D1" s="2"/>
      <c r="E1" s="1"/>
      <c r="F1" s="1"/>
      <c r="G1" s="1"/>
      <c r="H1" s="1"/>
      <c r="I1" s="1"/>
      <c r="J1" s="1"/>
      <c r="K1" s="1"/>
      <c r="L1" s="1"/>
      <c r="M1" s="1"/>
      <c r="N1" s="1"/>
      <c r="R1" s="2"/>
    </row>
    <row r="2" spans="1:20" s="28" customFormat="1" x14ac:dyDescent="0.3">
      <c r="D2" s="2"/>
      <c r="E2" s="1"/>
      <c r="F2" s="1"/>
      <c r="G2" s="1"/>
      <c r="H2" s="1"/>
      <c r="I2" s="1"/>
      <c r="J2" s="1"/>
      <c r="K2" s="1"/>
      <c r="L2" s="1"/>
      <c r="M2" s="1"/>
      <c r="N2" s="1"/>
      <c r="R2" s="2"/>
    </row>
    <row r="3" spans="1:20" s="28" customFormat="1" x14ac:dyDescent="0.3">
      <c r="D3" s="2"/>
      <c r="E3" s="1"/>
      <c r="F3" s="1"/>
      <c r="G3" s="1"/>
      <c r="H3" s="1"/>
      <c r="I3" s="1"/>
      <c r="J3" s="1"/>
      <c r="K3" s="1"/>
      <c r="L3" s="1"/>
      <c r="M3" s="1"/>
      <c r="N3" s="1"/>
      <c r="R3" s="2"/>
    </row>
    <row r="4" spans="1:20" s="28" customFormat="1" x14ac:dyDescent="0.3">
      <c r="D4" s="2"/>
      <c r="E4" s="1"/>
      <c r="F4" s="1"/>
      <c r="G4" s="1"/>
      <c r="H4" s="1"/>
      <c r="I4" s="1"/>
      <c r="J4" s="1"/>
      <c r="K4" s="1"/>
      <c r="L4" s="1"/>
      <c r="M4" s="1"/>
      <c r="N4" s="1"/>
      <c r="R4" s="2"/>
    </row>
    <row r="5" spans="1:20" s="28" customFormat="1" x14ac:dyDescent="0.3">
      <c r="D5" s="2"/>
      <c r="E5" s="1"/>
      <c r="F5" s="1"/>
      <c r="G5" s="1"/>
      <c r="H5" s="1"/>
      <c r="I5" s="1"/>
      <c r="J5" s="1"/>
      <c r="K5" s="1"/>
      <c r="L5" s="1"/>
      <c r="M5" s="1"/>
      <c r="N5" s="1"/>
      <c r="R5" s="2"/>
    </row>
    <row r="6" spans="1:20" s="28" customFormat="1" x14ac:dyDescent="0.3">
      <c r="D6" s="2"/>
      <c r="E6" s="1"/>
      <c r="F6" s="1"/>
      <c r="G6" s="1"/>
      <c r="H6" s="1"/>
      <c r="I6" s="1"/>
      <c r="J6" s="1"/>
      <c r="K6" s="1"/>
      <c r="L6" s="1"/>
      <c r="M6" s="1"/>
      <c r="N6" s="1"/>
      <c r="R6" s="2"/>
    </row>
    <row r="7" spans="1:20" s="28" customFormat="1" x14ac:dyDescent="0.3">
      <c r="D7" s="2"/>
      <c r="E7" s="1"/>
      <c r="F7" s="1"/>
      <c r="G7" s="1"/>
      <c r="H7" s="1"/>
      <c r="I7" s="1"/>
      <c r="J7" s="1"/>
      <c r="K7" s="1"/>
      <c r="L7" s="1"/>
      <c r="M7" s="1"/>
      <c r="N7" s="1"/>
      <c r="R7" s="2"/>
    </row>
    <row r="8" spans="1:20" s="28" customFormat="1" x14ac:dyDescent="0.3">
      <c r="D8" s="2"/>
      <c r="E8" s="1"/>
      <c r="F8" s="1"/>
      <c r="G8" s="1"/>
      <c r="H8" s="1"/>
      <c r="I8" s="1"/>
      <c r="J8" s="1"/>
      <c r="K8" s="1"/>
      <c r="L8" s="1"/>
      <c r="M8" s="1"/>
      <c r="N8" s="1"/>
      <c r="R8" s="2"/>
    </row>
    <row r="9" spans="1:20" s="1" customFormat="1" ht="3" customHeight="1" x14ac:dyDescent="0.3">
      <c r="A9" s="2"/>
      <c r="B9" s="2"/>
      <c r="C9" s="2"/>
      <c r="D9" s="2"/>
      <c r="E9" s="29"/>
      <c r="F9" s="30"/>
      <c r="G9" s="29"/>
      <c r="H9" s="29"/>
      <c r="I9" s="29"/>
      <c r="J9" s="29"/>
      <c r="K9" s="29"/>
      <c r="L9" s="29"/>
      <c r="M9" s="2"/>
      <c r="N9" s="2"/>
      <c r="O9" s="2"/>
      <c r="P9" s="2"/>
      <c r="Q9" s="2"/>
      <c r="R9" s="2"/>
      <c r="S9" s="28"/>
      <c r="T9" s="28"/>
    </row>
    <row r="10" spans="1:20" s="1" customFormat="1" x14ac:dyDescent="0.3">
      <c r="D10" s="2"/>
      <c r="E10" s="54" t="s">
        <v>33</v>
      </c>
      <c r="F10" s="54" t="s">
        <v>32</v>
      </c>
      <c r="G10" s="54" t="s">
        <v>31</v>
      </c>
      <c r="H10" s="54" t="s">
        <v>30</v>
      </c>
      <c r="I10" s="54" t="s">
        <v>29</v>
      </c>
      <c r="J10" s="54" t="s">
        <v>28</v>
      </c>
      <c r="K10" s="54" t="s">
        <v>27</v>
      </c>
      <c r="L10" s="54" t="s">
        <v>26</v>
      </c>
      <c r="M10" s="54" t="s">
        <v>25</v>
      </c>
      <c r="N10" s="54" t="s">
        <v>24</v>
      </c>
      <c r="O10" s="54" t="s">
        <v>23</v>
      </c>
      <c r="P10" s="54" t="s">
        <v>22</v>
      </c>
      <c r="Q10" s="54" t="s">
        <v>21</v>
      </c>
      <c r="R10" s="2"/>
      <c r="S10" s="28"/>
      <c r="T10" s="28"/>
    </row>
    <row r="11" spans="1:20" s="70" customFormat="1" hidden="1" x14ac:dyDescent="0.3">
      <c r="E11" s="72"/>
      <c r="F11" s="73">
        <v>67796</v>
      </c>
      <c r="G11" s="73">
        <f>F14-G17+G28</f>
        <v>36636</v>
      </c>
      <c r="H11" s="73">
        <f>G14-H17+H28</f>
        <v>35117</v>
      </c>
      <c r="I11" s="73">
        <f>H14-I17+I28</f>
        <v>33990</v>
      </c>
      <c r="J11" s="73">
        <f>I14-J17+J28</f>
        <v>32946</v>
      </c>
      <c r="K11" s="73">
        <f>J14-K17+K28</f>
        <v>31039</v>
      </c>
      <c r="L11" s="73">
        <f>K14-L17+L28</f>
        <v>29027</v>
      </c>
      <c r="M11" s="73">
        <f>L14-M17+M28</f>
        <v>27431</v>
      </c>
      <c r="N11" s="73">
        <f>M14-N17+N28</f>
        <v>25624</v>
      </c>
      <c r="O11" s="73">
        <f>N14-O17+O28</f>
        <v>23818</v>
      </c>
      <c r="P11" s="73">
        <f>O14-P17+P28</f>
        <v>22245</v>
      </c>
      <c r="Q11" s="72"/>
      <c r="S11" s="71"/>
      <c r="T11" s="71"/>
    </row>
    <row r="12" spans="1:20" s="70" customFormat="1" hidden="1" x14ac:dyDescent="0.3">
      <c r="E12" s="72"/>
      <c r="F12" s="73">
        <f>F14-F11</f>
        <v>-30195</v>
      </c>
      <c r="G12" s="73">
        <f>G14-G11</f>
        <v>-80</v>
      </c>
      <c r="H12" s="73">
        <f>H14-H11</f>
        <v>2</v>
      </c>
      <c r="I12" s="73">
        <f>I14-I11</f>
        <v>-30</v>
      </c>
      <c r="J12" s="73">
        <f>J14-J11</f>
        <v>-105</v>
      </c>
      <c r="K12" s="73">
        <f>K14-K11</f>
        <v>-4</v>
      </c>
      <c r="L12" s="73">
        <f>L14-L11</f>
        <v>-11</v>
      </c>
      <c r="M12" s="73">
        <f>M14-M11</f>
        <v>-276</v>
      </c>
      <c r="N12" s="73">
        <f>N14-N11</f>
        <v>-170</v>
      </c>
      <c r="O12" s="73">
        <f>O14-O11</f>
        <v>-70</v>
      </c>
      <c r="P12" s="73">
        <f>P14-P11</f>
        <v>-7</v>
      </c>
      <c r="Q12" s="72"/>
      <c r="S12" s="71"/>
      <c r="T12" s="71"/>
    </row>
    <row r="13" spans="1:20" s="1" customFormat="1" x14ac:dyDescent="0.3">
      <c r="D13" s="2"/>
      <c r="E13" s="5" t="s">
        <v>20</v>
      </c>
      <c r="F13" s="8">
        <v>39350.241341702786</v>
      </c>
      <c r="G13" s="8">
        <v>39450.241341702786</v>
      </c>
      <c r="H13" s="8">
        <v>39850.241341702786</v>
      </c>
      <c r="I13" s="8">
        <v>40050.241341702786</v>
      </c>
      <c r="J13" s="8">
        <v>40350.241341702786</v>
      </c>
      <c r="K13" s="8">
        <v>40600.241341702786</v>
      </c>
      <c r="L13" s="8">
        <v>39500.241341702786</v>
      </c>
      <c r="M13" s="8">
        <v>40000.241341702786</v>
      </c>
      <c r="N13" s="8">
        <v>40400.241341702786</v>
      </c>
      <c r="O13" s="8">
        <v>40800.241341702778</v>
      </c>
      <c r="P13" s="8">
        <v>41600.241341702778</v>
      </c>
      <c r="Q13" s="8">
        <v>42250.241341702778</v>
      </c>
      <c r="R13" s="2"/>
      <c r="S13" s="28"/>
      <c r="T13" s="28"/>
    </row>
    <row r="14" spans="1:20" s="1" customFormat="1" x14ac:dyDescent="0.3">
      <c r="D14" s="2"/>
      <c r="E14" s="5" t="s">
        <v>19</v>
      </c>
      <c r="F14" s="8">
        <f>SUM(F15:F16)</f>
        <v>37601</v>
      </c>
      <c r="G14" s="8">
        <f>SUM(G15:G16)</f>
        <v>36556</v>
      </c>
      <c r="H14" s="8">
        <f>SUM(H15:H16)</f>
        <v>35119</v>
      </c>
      <c r="I14" s="8">
        <f>SUM(I15:I16)</f>
        <v>33960</v>
      </c>
      <c r="J14" s="8">
        <f>SUM(J15:J16)</f>
        <v>32841</v>
      </c>
      <c r="K14" s="8">
        <f>SUM(K15:K16)</f>
        <v>31035</v>
      </c>
      <c r="L14" s="8">
        <f>SUM(L15:L16)</f>
        <v>29016</v>
      </c>
      <c r="M14" s="8">
        <f>SUM(M15:M16)</f>
        <v>27155</v>
      </c>
      <c r="N14" s="8">
        <f>SUM(N15:N16)</f>
        <v>25454</v>
      </c>
      <c r="O14" s="8">
        <f>SUM(O15:O16)</f>
        <v>23748</v>
      </c>
      <c r="P14" s="8">
        <f>SUM(P15:P16)</f>
        <v>22238</v>
      </c>
      <c r="Q14" s="8">
        <f>SUM(Q15:Q16)</f>
        <v>21201</v>
      </c>
      <c r="R14" s="2"/>
      <c r="S14" s="28"/>
      <c r="T14" s="28"/>
    </row>
    <row r="15" spans="1:20" s="1" customFormat="1" x14ac:dyDescent="0.3">
      <c r="D15" s="2"/>
      <c r="E15" s="14" t="s">
        <v>41</v>
      </c>
      <c r="F15" s="8">
        <v>1554</v>
      </c>
      <c r="G15" s="8">
        <v>1582</v>
      </c>
      <c r="H15" s="8">
        <v>1551</v>
      </c>
      <c r="I15" s="8">
        <v>1513</v>
      </c>
      <c r="J15" s="8">
        <v>1497</v>
      </c>
      <c r="K15" s="8">
        <v>1459</v>
      </c>
      <c r="L15" s="8">
        <v>1368</v>
      </c>
      <c r="M15" s="8">
        <v>1345</v>
      </c>
      <c r="N15" s="8">
        <v>1304</v>
      </c>
      <c r="O15" s="8">
        <v>1250</v>
      </c>
      <c r="P15" s="8">
        <v>1207</v>
      </c>
      <c r="Q15" s="8">
        <v>1170</v>
      </c>
      <c r="R15" s="2"/>
      <c r="S15" s="28"/>
      <c r="T15" s="28"/>
    </row>
    <row r="16" spans="1:20" s="1" customFormat="1" x14ac:dyDescent="0.3">
      <c r="D16" s="2"/>
      <c r="E16" s="14" t="s">
        <v>40</v>
      </c>
      <c r="F16" s="8">
        <v>36047</v>
      </c>
      <c r="G16" s="8">
        <v>34974</v>
      </c>
      <c r="H16" s="8">
        <v>33568</v>
      </c>
      <c r="I16" s="8">
        <v>32447</v>
      </c>
      <c r="J16" s="8">
        <v>31344</v>
      </c>
      <c r="K16" s="8">
        <v>29576</v>
      </c>
      <c r="L16" s="8">
        <v>27648</v>
      </c>
      <c r="M16" s="8">
        <v>25810</v>
      </c>
      <c r="N16" s="8">
        <v>24150</v>
      </c>
      <c r="O16" s="8">
        <v>22498</v>
      </c>
      <c r="P16" s="8">
        <v>21031</v>
      </c>
      <c r="Q16" s="8">
        <v>20031</v>
      </c>
      <c r="R16" s="2"/>
      <c r="S16" s="28"/>
      <c r="T16" s="28"/>
    </row>
    <row r="17" spans="1:20" s="1" customFormat="1" x14ac:dyDescent="0.3">
      <c r="D17" s="2"/>
      <c r="E17" s="5" t="s">
        <v>39</v>
      </c>
      <c r="F17" s="8">
        <v>1571</v>
      </c>
      <c r="G17" s="8">
        <f>SUM(G20:G24)</f>
        <v>1489</v>
      </c>
      <c r="H17" s="8">
        <f>SUM(H20:H24)</f>
        <v>1857</v>
      </c>
      <c r="I17" s="8">
        <f>SUM(I20:I24)</f>
        <v>1461</v>
      </c>
      <c r="J17" s="8">
        <f>SUM(J20:J24)</f>
        <v>1303</v>
      </c>
      <c r="K17" s="8">
        <f>SUM(K20:K24)</f>
        <v>2007</v>
      </c>
      <c r="L17" s="8">
        <f>SUM(L20:L24)</f>
        <v>2639</v>
      </c>
      <c r="M17" s="8">
        <f>SUM(M20:M24)</f>
        <v>1912</v>
      </c>
      <c r="N17" s="8">
        <f>SUM(N20:N24)</f>
        <v>1700</v>
      </c>
      <c r="O17" s="8">
        <f>SUM(O20:O24)</f>
        <v>1677</v>
      </c>
      <c r="P17" s="8">
        <f>SUM(P20:P24)</f>
        <v>1566</v>
      </c>
      <c r="Q17" s="8">
        <f>SUM(Q20:Q24)</f>
        <v>1068</v>
      </c>
      <c r="R17" s="2"/>
      <c r="S17" s="28"/>
      <c r="T17" s="28"/>
    </row>
    <row r="18" spans="1:20" s="1" customFormat="1" x14ac:dyDescent="0.3">
      <c r="D18" s="2"/>
      <c r="E18" s="5" t="s">
        <v>15</v>
      </c>
      <c r="F18" s="8">
        <v>406</v>
      </c>
      <c r="G18" s="8">
        <v>221</v>
      </c>
      <c r="H18" s="8">
        <v>1583</v>
      </c>
      <c r="I18" s="8">
        <v>646</v>
      </c>
      <c r="J18" s="8">
        <v>262</v>
      </c>
      <c r="K18" s="8">
        <v>274</v>
      </c>
      <c r="L18" s="8">
        <v>578</v>
      </c>
      <c r="M18" s="8">
        <v>227</v>
      </c>
      <c r="N18" s="8">
        <v>86</v>
      </c>
      <c r="O18" s="8">
        <v>226</v>
      </c>
      <c r="P18" s="8">
        <v>196</v>
      </c>
      <c r="Q18" s="8">
        <v>90</v>
      </c>
      <c r="R18" s="2"/>
      <c r="S18" s="28"/>
      <c r="T18" s="28"/>
    </row>
    <row r="19" spans="1:20" s="1" customFormat="1" x14ac:dyDescent="0.3">
      <c r="D19" s="2"/>
      <c r="E19" s="5" t="s">
        <v>14</v>
      </c>
      <c r="F19" s="10">
        <v>4.0534613102149286E-2</v>
      </c>
      <c r="G19" s="10">
        <f>IFERROR(G17/F14,0)</f>
        <v>3.9600010638014944E-2</v>
      </c>
      <c r="H19" s="10">
        <f>IFERROR(H17/G14,0)</f>
        <v>5.0798774482985011E-2</v>
      </c>
      <c r="I19" s="10">
        <f>IFERROR(I17/H14,0)</f>
        <v>4.1601412340898092E-2</v>
      </c>
      <c r="J19" s="10">
        <f>IFERROR(J17/I14,0)</f>
        <v>3.8368669022379273E-2</v>
      </c>
      <c r="K19" s="10">
        <f>IFERROR(K17/J14,0)</f>
        <v>6.1112633598246098E-2</v>
      </c>
      <c r="L19" s="10">
        <f>IFERROR(L17/K14,0)</f>
        <v>8.503302722732399E-2</v>
      </c>
      <c r="M19" s="10">
        <f>IFERROR(M17/L14,0)</f>
        <v>6.5894678797904602E-2</v>
      </c>
      <c r="N19" s="10">
        <f>IFERROR(N17/M14,0)</f>
        <v>6.2603572086171982E-2</v>
      </c>
      <c r="O19" s="10">
        <f>IFERROR(O17/N14,0)</f>
        <v>6.5883554647599596E-2</v>
      </c>
      <c r="P19" s="10">
        <f>IFERROR(P17/O14,0)</f>
        <v>6.5942395149065178E-2</v>
      </c>
      <c r="Q19" s="10">
        <f>IFERROR(Q17/P14,0)</f>
        <v>4.8025901609857001E-2</v>
      </c>
      <c r="R19" s="10">
        <f>IFERROR(R17/Q14,0)</f>
        <v>0</v>
      </c>
      <c r="S19" s="28"/>
      <c r="T19" s="28"/>
    </row>
    <row r="20" spans="1:20" s="1" customFormat="1" x14ac:dyDescent="0.3">
      <c r="D20" s="2"/>
      <c r="E20" s="5" t="s">
        <v>13</v>
      </c>
      <c r="F20" s="8">
        <v>450</v>
      </c>
      <c r="G20" s="8">
        <v>389</v>
      </c>
      <c r="H20" s="8">
        <v>400</v>
      </c>
      <c r="I20" s="8">
        <v>464</v>
      </c>
      <c r="J20" s="8">
        <v>327</v>
      </c>
      <c r="K20" s="8">
        <v>331</v>
      </c>
      <c r="L20" s="8">
        <v>353</v>
      </c>
      <c r="M20" s="8">
        <v>361</v>
      </c>
      <c r="N20" s="8">
        <v>549</v>
      </c>
      <c r="O20" s="8">
        <v>384</v>
      </c>
      <c r="P20" s="8">
        <v>482</v>
      </c>
      <c r="Q20" s="8">
        <v>231</v>
      </c>
      <c r="R20" s="2"/>
      <c r="S20" s="28"/>
      <c r="T20" s="28"/>
    </row>
    <row r="21" spans="1:20" s="1" customFormat="1" x14ac:dyDescent="0.3">
      <c r="D21" s="2"/>
      <c r="E21" s="5" t="s">
        <v>12</v>
      </c>
      <c r="F21" s="8">
        <v>819</v>
      </c>
      <c r="G21" s="8">
        <v>802</v>
      </c>
      <c r="H21" s="8">
        <v>1042</v>
      </c>
      <c r="I21" s="8">
        <v>728</v>
      </c>
      <c r="J21" s="8">
        <v>718</v>
      </c>
      <c r="K21" s="8">
        <v>1164</v>
      </c>
      <c r="L21" s="8">
        <v>1708</v>
      </c>
      <c r="M21" s="8">
        <v>1171</v>
      </c>
      <c r="N21" s="8">
        <v>849</v>
      </c>
      <c r="O21" s="8">
        <v>978</v>
      </c>
      <c r="P21" s="8">
        <v>597</v>
      </c>
      <c r="Q21" s="8">
        <v>28</v>
      </c>
      <c r="R21" s="2"/>
      <c r="S21" s="28"/>
      <c r="T21" s="28"/>
    </row>
    <row r="22" spans="1:20" s="1" customFormat="1" x14ac:dyDescent="0.3">
      <c r="D22" s="2"/>
      <c r="E22" s="5" t="s">
        <v>11</v>
      </c>
      <c r="F22" s="8">
        <v>218</v>
      </c>
      <c r="G22" s="8">
        <v>252</v>
      </c>
      <c r="H22" s="8">
        <v>357</v>
      </c>
      <c r="I22" s="8">
        <v>246</v>
      </c>
      <c r="J22" s="8">
        <v>0</v>
      </c>
      <c r="K22" s="8">
        <v>0</v>
      </c>
      <c r="L22" s="8">
        <v>520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2"/>
      <c r="S22" s="28"/>
      <c r="T22" s="28"/>
    </row>
    <row r="23" spans="1:20" s="1" customFormat="1" x14ac:dyDescent="0.3">
      <c r="D23" s="2"/>
      <c r="E23" s="5" t="s">
        <v>50</v>
      </c>
      <c r="F23" s="42">
        <v>8</v>
      </c>
      <c r="G23" s="42">
        <v>8</v>
      </c>
      <c r="H23" s="42">
        <v>4</v>
      </c>
      <c r="I23" s="42">
        <v>6</v>
      </c>
      <c r="J23" s="42">
        <v>7</v>
      </c>
      <c r="K23" s="42">
        <v>5</v>
      </c>
      <c r="L23" s="42">
        <v>9</v>
      </c>
      <c r="M23" s="42">
        <v>7</v>
      </c>
      <c r="N23" s="42">
        <v>2</v>
      </c>
      <c r="O23" s="42">
        <v>5</v>
      </c>
      <c r="P23" s="42">
        <v>6</v>
      </c>
      <c r="Q23" s="42">
        <v>0</v>
      </c>
      <c r="R23" s="2"/>
      <c r="S23" s="28"/>
      <c r="T23" s="28"/>
    </row>
    <row r="24" spans="1:20" s="1" customFormat="1" x14ac:dyDescent="0.3">
      <c r="D24" s="2"/>
      <c r="E24" s="5" t="s">
        <v>46</v>
      </c>
      <c r="F24" s="42">
        <v>76</v>
      </c>
      <c r="G24" s="42">
        <v>38</v>
      </c>
      <c r="H24" s="42">
        <v>54</v>
      </c>
      <c r="I24" s="42">
        <v>17</v>
      </c>
      <c r="J24" s="42">
        <v>251</v>
      </c>
      <c r="K24" s="42">
        <v>507</v>
      </c>
      <c r="L24" s="42">
        <v>49</v>
      </c>
      <c r="M24" s="42">
        <v>373</v>
      </c>
      <c r="N24" s="42">
        <v>300</v>
      </c>
      <c r="O24" s="42">
        <v>310</v>
      </c>
      <c r="P24" s="42">
        <v>481</v>
      </c>
      <c r="Q24" s="42">
        <v>809</v>
      </c>
      <c r="R24" s="2"/>
      <c r="S24" s="28"/>
      <c r="T24" s="28"/>
    </row>
    <row r="25" spans="1:20" s="1" customFormat="1" x14ac:dyDescent="0.3">
      <c r="D25" s="2"/>
      <c r="E25" s="5" t="s">
        <v>6</v>
      </c>
      <c r="F25" s="23">
        <v>30283887.000000734</v>
      </c>
      <c r="G25" s="23">
        <v>29226830.880000561</v>
      </c>
      <c r="H25" s="23">
        <v>29775807.580000024</v>
      </c>
      <c r="I25" s="23">
        <v>28470540.020000249</v>
      </c>
      <c r="J25" s="23">
        <v>27912179.900000021</v>
      </c>
      <c r="K25" s="23">
        <v>26912757.95000013</v>
      </c>
      <c r="L25" s="23">
        <v>27701740.370000299</v>
      </c>
      <c r="M25" s="23">
        <v>26066019.880000319</v>
      </c>
      <c r="N25" s="23">
        <v>24533308.470000181</v>
      </c>
      <c r="O25" s="23">
        <v>23577274.51000011</v>
      </c>
      <c r="P25" s="23">
        <v>22552505.10000062</v>
      </c>
      <c r="Q25" s="23">
        <v>21566157.550000228</v>
      </c>
      <c r="R25" s="2"/>
      <c r="S25" s="28"/>
      <c r="T25" s="28"/>
    </row>
    <row r="26" spans="1:20" s="1" customFormat="1" x14ac:dyDescent="0.3">
      <c r="D26" s="2"/>
      <c r="E26" s="5" t="s">
        <v>5</v>
      </c>
      <c r="F26" s="23">
        <v>27909308.870000735</v>
      </c>
      <c r="G26" s="23">
        <v>26177576.66000057</v>
      </c>
      <c r="H26" s="23">
        <v>27151350.370000016</v>
      </c>
      <c r="I26" s="23">
        <v>25405489.98000025</v>
      </c>
      <c r="J26" s="23">
        <v>25323821.620000027</v>
      </c>
      <c r="K26" s="23">
        <v>24361742.010000139</v>
      </c>
      <c r="L26" s="23">
        <v>24828370.340000335</v>
      </c>
      <c r="M26" s="23">
        <v>23721420.510000315</v>
      </c>
      <c r="N26" s="23">
        <v>22432855.540000174</v>
      </c>
      <c r="O26" s="23">
        <v>21630790.710000101</v>
      </c>
      <c r="P26" s="23">
        <v>20768599.010000616</v>
      </c>
      <c r="Q26" s="23">
        <v>19720133.400000218</v>
      </c>
      <c r="R26" s="2"/>
      <c r="S26" s="28"/>
      <c r="T26" s="28"/>
    </row>
    <row r="27" spans="1:20" s="1" customFormat="1" x14ac:dyDescent="0.3">
      <c r="D27" s="2"/>
      <c r="E27" s="5" t="s">
        <v>49</v>
      </c>
      <c r="F27" s="10">
        <f>IFERROR((1-F26/F25),0)</f>
        <v>7.841061254785231E-2</v>
      </c>
      <c r="G27" s="10">
        <f>IFERROR((1-G26/G25),0)</f>
        <v>0.10433064852359841</v>
      </c>
      <c r="H27" s="10">
        <f>IFERROR((1-H26/H25),0)</f>
        <v>8.8140588729583857E-2</v>
      </c>
      <c r="I27" s="10">
        <f>IFERROR((1-I26/I25),0)</f>
        <v>0.10765689859928318</v>
      </c>
      <c r="J27" s="10">
        <f>IFERROR((1-J26/J25),0)</f>
        <v>9.2732215444053967E-2</v>
      </c>
      <c r="K27" s="10">
        <f>IFERROR((1-K26/K25),0)</f>
        <v>9.4788350742030847E-2</v>
      </c>
      <c r="L27" s="10">
        <f>IFERROR((1-L26/L25),0)</f>
        <v>0.10372525305708558</v>
      </c>
      <c r="M27" s="10">
        <f>IFERROR((1-M26/M25),0)</f>
        <v>8.9948499264321802E-2</v>
      </c>
      <c r="N27" s="10">
        <f>IFERROR((1-N26/N25),0)</f>
        <v>8.5616374675616336E-2</v>
      </c>
      <c r="O27" s="10">
        <f>IFERROR((1-O26/O25),0)</f>
        <v>8.2557625529380951E-2</v>
      </c>
      <c r="P27" s="10">
        <f>IFERROR((1-P26/P25),0)</f>
        <v>7.9100130211253283E-2</v>
      </c>
      <c r="Q27" s="10">
        <f>IFERROR((1-Q26/Q25),0)</f>
        <v>8.5598194565725483E-2</v>
      </c>
      <c r="R27" s="2"/>
      <c r="S27" s="28"/>
      <c r="T27" s="28"/>
    </row>
    <row r="28" spans="1:20" s="1" customFormat="1" x14ac:dyDescent="0.3">
      <c r="D28" s="2"/>
      <c r="E28" s="5" t="s">
        <v>3</v>
      </c>
      <c r="F28" s="8">
        <v>457</v>
      </c>
      <c r="G28" s="8">
        <v>524</v>
      </c>
      <c r="H28" s="8">
        <v>418</v>
      </c>
      <c r="I28" s="8">
        <v>332</v>
      </c>
      <c r="J28" s="8">
        <v>289</v>
      </c>
      <c r="K28" s="8">
        <v>205</v>
      </c>
      <c r="L28" s="8">
        <v>631</v>
      </c>
      <c r="M28" s="8">
        <v>327</v>
      </c>
      <c r="N28" s="8">
        <v>169</v>
      </c>
      <c r="O28" s="8">
        <v>41</v>
      </c>
      <c r="P28" s="8">
        <v>63</v>
      </c>
      <c r="Q28" s="8">
        <v>53</v>
      </c>
      <c r="R28" s="2"/>
      <c r="S28" s="28"/>
      <c r="T28" s="28"/>
    </row>
    <row r="29" spans="1:20" s="1" customFormat="1" x14ac:dyDescent="0.3">
      <c r="D29" s="2"/>
      <c r="E29" s="5" t="s">
        <v>2</v>
      </c>
      <c r="F29" s="24">
        <f>IFERROR(F25/F14,0)</f>
        <v>805.40110635357394</v>
      </c>
      <c r="G29" s="24">
        <f>IFERROR(G25/G14,0)</f>
        <v>799.50844950214912</v>
      </c>
      <c r="H29" s="24">
        <f>IFERROR(H25/H14,0)</f>
        <v>847.85465360631065</v>
      </c>
      <c r="I29" s="24">
        <f>IFERROR(I25/I14,0)</f>
        <v>838.35512426384719</v>
      </c>
      <c r="J29" s="24">
        <f>IFERROR(J25/J14,0)</f>
        <v>849.91869614201823</v>
      </c>
      <c r="K29" s="24">
        <f>IFERROR(K25/K14,0)</f>
        <v>867.17441437087575</v>
      </c>
      <c r="L29" s="24">
        <f>IFERROR(L25/L14,0)</f>
        <v>954.70569237663005</v>
      </c>
      <c r="M29" s="24">
        <f>IFERROR(M25/M14,0)</f>
        <v>959.89762032775991</v>
      </c>
      <c r="N29" s="24">
        <f>IFERROR(N25/N14,0)</f>
        <v>963.82920051858969</v>
      </c>
      <c r="O29" s="24">
        <f>IFERROR(O25/O14,0)</f>
        <v>992.81095292235602</v>
      </c>
      <c r="P29" s="24">
        <f>IFERROR(P25/P14,0)</f>
        <v>1014.142688191412</v>
      </c>
      <c r="Q29" s="24">
        <f>IFERROR(Q25/Q14,0)</f>
        <v>1017.2236003018833</v>
      </c>
      <c r="R29" s="2"/>
      <c r="S29" s="28"/>
      <c r="T29" s="28"/>
    </row>
    <row r="30" spans="1:20" s="1" customFormat="1" x14ac:dyDescent="0.3">
      <c r="D30" s="2"/>
      <c r="E30" s="5" t="s">
        <v>1</v>
      </c>
      <c r="F30" s="56">
        <v>481797.36081600038</v>
      </c>
      <c r="G30" s="56">
        <v>438472.98</v>
      </c>
      <c r="H30" s="56">
        <v>463109.63</v>
      </c>
      <c r="I30" s="56">
        <v>372012.98</v>
      </c>
      <c r="J30" s="56">
        <v>389753.54</v>
      </c>
      <c r="K30" s="56">
        <v>286807.46999999997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R30" s="2"/>
      <c r="S30" s="28"/>
      <c r="T30" s="28"/>
    </row>
    <row r="31" spans="1:20" s="1" customFormat="1" x14ac:dyDescent="0.3">
      <c r="D31" s="2"/>
      <c r="E31" s="5" t="s">
        <v>0</v>
      </c>
      <c r="F31" s="56">
        <v>62176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R31" s="2"/>
      <c r="S31" s="28"/>
      <c r="T31" s="28"/>
    </row>
    <row r="32" spans="1:20" s="1" customFormat="1" ht="1.95" customHeight="1" x14ac:dyDescent="0.3">
      <c r="A32" s="2"/>
      <c r="B32" s="2"/>
      <c r="C32" s="2"/>
      <c r="D32" s="2"/>
      <c r="E32" s="2"/>
      <c r="F32" s="55"/>
      <c r="G32" s="55"/>
      <c r="H32" s="55"/>
      <c r="I32" s="61"/>
      <c r="J32" s="55"/>
      <c r="K32" s="60"/>
      <c r="L32" s="29"/>
      <c r="M32" s="29"/>
      <c r="N32" s="29"/>
      <c r="O32" s="29"/>
      <c r="P32" s="29"/>
      <c r="Q32" s="29"/>
      <c r="R32" s="2"/>
      <c r="S32" s="28"/>
      <c r="T32" s="28"/>
    </row>
    <row r="33" spans="1:20" s="1" customFormat="1" hidden="1" x14ac:dyDescent="0.3">
      <c r="A33" s="2"/>
      <c r="B33" s="2"/>
      <c r="C33" s="2"/>
      <c r="D33" s="2"/>
      <c r="E33" s="2"/>
      <c r="F33" s="55">
        <v>10698</v>
      </c>
      <c r="G33" s="55">
        <f>F37-G40+G51</f>
        <v>11021</v>
      </c>
      <c r="H33" s="55">
        <f>G37-H40+H51</f>
        <v>11069</v>
      </c>
      <c r="I33" s="55">
        <f>H37-I40+I51</f>
        <v>11255</v>
      </c>
      <c r="J33" s="55">
        <f>I37-J40+J51</f>
        <v>11341</v>
      </c>
      <c r="K33" s="55">
        <f>J37-K40+K51</f>
        <v>11277</v>
      </c>
      <c r="L33" s="55">
        <f>K37-L40+L51</f>
        <v>10798</v>
      </c>
      <c r="M33" s="55">
        <f>L37-M40+M51</f>
        <v>10858</v>
      </c>
      <c r="N33" s="55">
        <f>M37-N40+N51</f>
        <v>10761</v>
      </c>
      <c r="O33" s="55">
        <f>N37-O40+O51</f>
        <v>10597</v>
      </c>
      <c r="P33" s="55">
        <f>O37-P40+P51</f>
        <v>10394</v>
      </c>
      <c r="Q33" s="29"/>
      <c r="R33" s="2"/>
      <c r="S33" s="28"/>
      <c r="T33" s="28"/>
    </row>
    <row r="34" spans="1:20" s="1" customFormat="1" hidden="1" x14ac:dyDescent="0.3">
      <c r="A34" s="2"/>
      <c r="B34" s="2"/>
      <c r="C34" s="2"/>
      <c r="D34" s="2"/>
      <c r="E34" s="2"/>
      <c r="F34" s="55">
        <f>F37-F33</f>
        <v>40</v>
      </c>
      <c r="G34" s="55">
        <f>G37-G33</f>
        <v>2</v>
      </c>
      <c r="H34" s="55">
        <f>H37-H33</f>
        <v>22</v>
      </c>
      <c r="I34" s="55">
        <f>I37-I33</f>
        <v>8</v>
      </c>
      <c r="J34" s="55">
        <f>J37-J33</f>
        <v>6</v>
      </c>
      <c r="K34" s="55">
        <f>K37-K33</f>
        <v>21</v>
      </c>
      <c r="L34" s="55">
        <f>L37-L33</f>
        <v>29</v>
      </c>
      <c r="M34" s="55">
        <f>M37-M33</f>
        <v>-20</v>
      </c>
      <c r="N34" s="55">
        <f>N37-N33</f>
        <v>11</v>
      </c>
      <c r="O34" s="55">
        <f>O37-O33</f>
        <v>34</v>
      </c>
      <c r="P34" s="55">
        <f>P37-P33</f>
        <v>25</v>
      </c>
      <c r="Q34" s="29"/>
      <c r="R34" s="2"/>
      <c r="S34" s="28"/>
      <c r="T34" s="28"/>
    </row>
    <row r="35" spans="1:20" s="1" customFormat="1" x14ac:dyDescent="0.3">
      <c r="D35" s="2"/>
      <c r="E35" s="54" t="s">
        <v>33</v>
      </c>
      <c r="F35" s="54" t="s">
        <v>32</v>
      </c>
      <c r="G35" s="54" t="s">
        <v>31</v>
      </c>
      <c r="H35" s="54" t="s">
        <v>30</v>
      </c>
      <c r="I35" s="54" t="s">
        <v>29</v>
      </c>
      <c r="J35" s="54" t="s">
        <v>28</v>
      </c>
      <c r="K35" s="54" t="s">
        <v>27</v>
      </c>
      <c r="L35" s="54" t="s">
        <v>26</v>
      </c>
      <c r="M35" s="54" t="s">
        <v>25</v>
      </c>
      <c r="N35" s="54" t="s">
        <v>24</v>
      </c>
      <c r="O35" s="54" t="s">
        <v>23</v>
      </c>
      <c r="P35" s="54" t="s">
        <v>22</v>
      </c>
      <c r="Q35" s="54" t="s">
        <v>21</v>
      </c>
      <c r="R35" s="2"/>
      <c r="S35" s="28"/>
      <c r="T35" s="28"/>
    </row>
    <row r="36" spans="1:20" s="1" customFormat="1" x14ac:dyDescent="0.3">
      <c r="D36" s="2"/>
      <c r="E36" s="5" t="s">
        <v>20</v>
      </c>
      <c r="F36" s="8">
        <v>10878.487164039876</v>
      </c>
      <c r="G36" s="8">
        <v>11078.487164039878</v>
      </c>
      <c r="H36" s="8">
        <v>11329.671597204004</v>
      </c>
      <c r="I36" s="8">
        <v>11579.671597204006</v>
      </c>
      <c r="J36" s="8">
        <v>11829.50238152115</v>
      </c>
      <c r="K36" s="8">
        <v>11929.502381521155</v>
      </c>
      <c r="L36" s="8">
        <v>12933.026811846057</v>
      </c>
      <c r="M36" s="8">
        <v>13635.423743773192</v>
      </c>
      <c r="N36" s="8">
        <v>14087.222304924269</v>
      </c>
      <c r="O36" s="8">
        <v>14339.666244264796</v>
      </c>
      <c r="P36" s="8">
        <v>14594.020380694405</v>
      </c>
      <c r="Q36" s="8">
        <v>14795.474338691174</v>
      </c>
      <c r="R36" s="2"/>
      <c r="S36" s="28"/>
      <c r="T36" s="28"/>
    </row>
    <row r="37" spans="1:20" s="1" customFormat="1" x14ac:dyDescent="0.3">
      <c r="D37" s="2"/>
      <c r="E37" s="5" t="s">
        <v>19</v>
      </c>
      <c r="F37" s="8">
        <f>SUM(F38:F39)</f>
        <v>10738</v>
      </c>
      <c r="G37" s="8">
        <f>SUM(G38:G39)</f>
        <v>11023</v>
      </c>
      <c r="H37" s="8">
        <f>SUM(H38:H39)</f>
        <v>11091</v>
      </c>
      <c r="I37" s="8">
        <f>SUM(I38:I39)</f>
        <v>11263</v>
      </c>
      <c r="J37" s="8">
        <f>SUM(J38:J39)</f>
        <v>11347</v>
      </c>
      <c r="K37" s="8">
        <f>SUM(K38:K39)</f>
        <v>11298</v>
      </c>
      <c r="L37" s="8">
        <f>SUM(L38:L39)</f>
        <v>10827</v>
      </c>
      <c r="M37" s="8">
        <f>SUM(M38:M39)</f>
        <v>10838</v>
      </c>
      <c r="N37" s="8">
        <f>SUM(N38:N39)</f>
        <v>10772</v>
      </c>
      <c r="O37" s="8">
        <f>SUM(O38:O39)</f>
        <v>10631</v>
      </c>
      <c r="P37" s="8">
        <f>SUM(P38:P39)</f>
        <v>10419</v>
      </c>
      <c r="Q37" s="8">
        <f>SUM(Q38:Q39)</f>
        <v>10350</v>
      </c>
      <c r="R37" s="2"/>
      <c r="S37" s="28"/>
      <c r="T37" s="28"/>
    </row>
    <row r="38" spans="1:20" s="1" customFormat="1" x14ac:dyDescent="0.3">
      <c r="D38" s="2"/>
      <c r="E38" s="14" t="s">
        <v>41</v>
      </c>
      <c r="F38" s="8">
        <v>415</v>
      </c>
      <c r="G38" s="8">
        <v>573</v>
      </c>
      <c r="H38" s="8">
        <v>630</v>
      </c>
      <c r="I38" s="8">
        <v>662</v>
      </c>
      <c r="J38" s="8">
        <v>684</v>
      </c>
      <c r="K38" s="8">
        <v>662</v>
      </c>
      <c r="L38" s="8">
        <v>587</v>
      </c>
      <c r="M38" s="8">
        <v>448</v>
      </c>
      <c r="N38" s="8">
        <v>431</v>
      </c>
      <c r="O38" s="8">
        <v>410</v>
      </c>
      <c r="P38" s="8">
        <v>388</v>
      </c>
      <c r="Q38" s="8">
        <v>407</v>
      </c>
      <c r="R38" s="2"/>
      <c r="S38" s="28"/>
      <c r="T38" s="28"/>
    </row>
    <row r="39" spans="1:20" s="1" customFormat="1" x14ac:dyDescent="0.3">
      <c r="D39" s="2"/>
      <c r="E39" s="14" t="s">
        <v>40</v>
      </c>
      <c r="F39" s="8">
        <v>10323</v>
      </c>
      <c r="G39" s="8">
        <v>10450</v>
      </c>
      <c r="H39" s="8">
        <v>10461</v>
      </c>
      <c r="I39" s="8">
        <v>10601</v>
      </c>
      <c r="J39" s="8">
        <v>10663</v>
      </c>
      <c r="K39" s="8">
        <v>10636</v>
      </c>
      <c r="L39" s="8">
        <v>10240</v>
      </c>
      <c r="M39" s="8">
        <v>10390</v>
      </c>
      <c r="N39" s="8">
        <v>10341</v>
      </c>
      <c r="O39" s="8">
        <v>10221</v>
      </c>
      <c r="P39" s="8">
        <v>10031</v>
      </c>
      <c r="Q39" s="8">
        <v>9943</v>
      </c>
      <c r="R39" s="2"/>
      <c r="S39" s="28"/>
      <c r="T39" s="28"/>
    </row>
    <row r="40" spans="1:20" s="1" customFormat="1" x14ac:dyDescent="0.3">
      <c r="D40" s="2"/>
      <c r="E40" s="5" t="s">
        <v>39</v>
      </c>
      <c r="F40" s="8">
        <v>720</v>
      </c>
      <c r="G40" s="8">
        <f>SUM(G43:G47)</f>
        <v>595</v>
      </c>
      <c r="H40" s="8">
        <f>SUM(H43:H47)</f>
        <v>573</v>
      </c>
      <c r="I40" s="8">
        <f>SUM(I43:I47)</f>
        <v>529</v>
      </c>
      <c r="J40" s="8">
        <f>SUM(J43:J47)</f>
        <v>509</v>
      </c>
      <c r="K40" s="8">
        <f>SUM(K43:K47)</f>
        <v>623</v>
      </c>
      <c r="L40" s="8">
        <f>SUM(L43:L47)</f>
        <v>1208</v>
      </c>
      <c r="M40" s="8">
        <f>SUM(M43:M47)</f>
        <v>1031</v>
      </c>
      <c r="N40" s="8">
        <f>SUM(N43:N47)</f>
        <v>871</v>
      </c>
      <c r="O40" s="8">
        <f>SUM(O43:O47)</f>
        <v>701</v>
      </c>
      <c r="P40" s="8">
        <f>SUM(P43:P47)</f>
        <v>606</v>
      </c>
      <c r="Q40" s="8">
        <f>SUM(Q43:Q47)</f>
        <v>527</v>
      </c>
      <c r="R40" s="2"/>
      <c r="S40" s="28"/>
      <c r="T40" s="28"/>
    </row>
    <row r="41" spans="1:20" s="1" customFormat="1" x14ac:dyDescent="0.3">
      <c r="D41" s="2"/>
      <c r="E41" s="5" t="s">
        <v>15</v>
      </c>
      <c r="F41" s="8">
        <v>213</v>
      </c>
      <c r="G41" s="8">
        <v>114</v>
      </c>
      <c r="H41" s="8">
        <v>192</v>
      </c>
      <c r="I41" s="8">
        <v>113</v>
      </c>
      <c r="J41" s="8">
        <v>70</v>
      </c>
      <c r="K41" s="8">
        <v>53</v>
      </c>
      <c r="L41" s="8">
        <v>155</v>
      </c>
      <c r="M41" s="8">
        <v>111</v>
      </c>
      <c r="N41" s="8">
        <v>89</v>
      </c>
      <c r="O41" s="8">
        <v>71</v>
      </c>
      <c r="P41" s="8">
        <v>105</v>
      </c>
      <c r="Q41" s="8">
        <v>62</v>
      </c>
      <c r="R41" s="2"/>
      <c r="S41" s="28"/>
      <c r="T41" s="28"/>
    </row>
    <row r="42" spans="1:20" s="1" customFormat="1" x14ac:dyDescent="0.3">
      <c r="D42" s="2"/>
      <c r="E42" s="5" t="s">
        <v>14</v>
      </c>
      <c r="F42" s="10">
        <v>6.814955040227165E-2</v>
      </c>
      <c r="G42" s="10">
        <f>IFERROR(G40/F37,0)</f>
        <v>5.5410691003911342E-2</v>
      </c>
      <c r="H42" s="10">
        <f>IFERROR(H40/G37,0)</f>
        <v>5.1982218996643383E-2</v>
      </c>
      <c r="I42" s="10">
        <f>IFERROR(I40/H37,0)</f>
        <v>4.7696330357947889E-2</v>
      </c>
      <c r="J42" s="10">
        <f>IFERROR(J40/I37,0)</f>
        <v>4.5192222320873658E-2</v>
      </c>
      <c r="K42" s="10">
        <f>IFERROR(K40/J37,0)</f>
        <v>5.4904380012338064E-2</v>
      </c>
      <c r="L42" s="10">
        <f>IFERROR(L40/K37,0)</f>
        <v>0.10692157904053814</v>
      </c>
      <c r="M42" s="10">
        <f>IFERROR(M40/L37,0)</f>
        <v>9.5224900711185001E-2</v>
      </c>
      <c r="N42" s="10">
        <f>IFERROR(N40/M37,0)</f>
        <v>8.0365381066617461E-2</v>
      </c>
      <c r="O42" s="10">
        <f>IFERROR(O40/N37,0)</f>
        <v>6.5076123282584483E-2</v>
      </c>
      <c r="P42" s="10">
        <f>IFERROR(P40/O37,0)</f>
        <v>5.700310412943279E-2</v>
      </c>
      <c r="Q42" s="10">
        <f>IFERROR(Q40/P37,0)</f>
        <v>5.0580669929935693E-2</v>
      </c>
      <c r="R42" s="2"/>
      <c r="S42" s="28"/>
      <c r="T42" s="28"/>
    </row>
    <row r="43" spans="1:20" s="1" customFormat="1" x14ac:dyDescent="0.3">
      <c r="D43" s="2"/>
      <c r="E43" s="5" t="s">
        <v>13</v>
      </c>
      <c r="F43" s="8">
        <v>306</v>
      </c>
      <c r="G43" s="8">
        <v>294</v>
      </c>
      <c r="H43" s="8">
        <v>316</v>
      </c>
      <c r="I43" s="8">
        <v>322</v>
      </c>
      <c r="J43" s="8">
        <v>260</v>
      </c>
      <c r="K43" s="8">
        <v>220</v>
      </c>
      <c r="L43" s="8">
        <v>275</v>
      </c>
      <c r="M43" s="8">
        <v>390</v>
      </c>
      <c r="N43" s="8">
        <v>438</v>
      </c>
      <c r="O43" s="8">
        <v>344</v>
      </c>
      <c r="P43" s="8">
        <v>337</v>
      </c>
      <c r="Q43" s="8">
        <v>277</v>
      </c>
      <c r="R43" s="2"/>
      <c r="S43" s="28"/>
      <c r="T43" s="28"/>
    </row>
    <row r="44" spans="1:20" s="1" customFormat="1" x14ac:dyDescent="0.3">
      <c r="D44" s="2"/>
      <c r="E44" s="5" t="s">
        <v>12</v>
      </c>
      <c r="F44" s="8">
        <v>313</v>
      </c>
      <c r="G44" s="8">
        <v>202</v>
      </c>
      <c r="H44" s="8">
        <v>200</v>
      </c>
      <c r="I44" s="8">
        <v>150</v>
      </c>
      <c r="J44" s="8">
        <v>196</v>
      </c>
      <c r="K44" s="8">
        <v>305</v>
      </c>
      <c r="L44" s="8">
        <v>713</v>
      </c>
      <c r="M44" s="8">
        <v>480</v>
      </c>
      <c r="N44" s="8">
        <v>328</v>
      </c>
      <c r="O44" s="8">
        <v>250</v>
      </c>
      <c r="P44" s="8">
        <v>166</v>
      </c>
      <c r="Q44" s="8">
        <v>8</v>
      </c>
      <c r="R44" s="2"/>
      <c r="S44" s="28"/>
      <c r="T44" s="28"/>
    </row>
    <row r="45" spans="1:20" s="1" customFormat="1" x14ac:dyDescent="0.3">
      <c r="D45" s="2"/>
      <c r="E45" s="5" t="s">
        <v>11</v>
      </c>
      <c r="F45" s="8">
        <v>87</v>
      </c>
      <c r="G45" s="8">
        <v>81</v>
      </c>
      <c r="H45" s="8">
        <v>51</v>
      </c>
      <c r="I45" s="8">
        <v>57</v>
      </c>
      <c r="J45" s="8">
        <v>0</v>
      </c>
      <c r="K45" s="8">
        <v>0</v>
      </c>
      <c r="L45" s="8">
        <v>217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2"/>
      <c r="S45" s="28"/>
      <c r="T45" s="28"/>
    </row>
    <row r="46" spans="1:20" s="1" customFormat="1" x14ac:dyDescent="0.3">
      <c r="D46" s="2"/>
      <c r="E46" s="5" t="s">
        <v>50</v>
      </c>
      <c r="F46" s="42">
        <v>0</v>
      </c>
      <c r="G46" s="42">
        <v>1</v>
      </c>
      <c r="H46" s="42">
        <v>1</v>
      </c>
      <c r="I46" s="42">
        <v>0</v>
      </c>
      <c r="J46" s="42">
        <v>0</v>
      </c>
      <c r="K46" s="42">
        <v>1</v>
      </c>
      <c r="L46" s="42">
        <v>0</v>
      </c>
      <c r="M46" s="42">
        <v>3</v>
      </c>
      <c r="N46" s="42">
        <v>0</v>
      </c>
      <c r="O46" s="42">
        <v>1</v>
      </c>
      <c r="P46" s="42">
        <v>0</v>
      </c>
      <c r="Q46" s="42">
        <v>2</v>
      </c>
      <c r="R46" s="2"/>
      <c r="S46" s="28"/>
      <c r="T46" s="28"/>
    </row>
    <row r="47" spans="1:20" s="1" customFormat="1" x14ac:dyDescent="0.3">
      <c r="D47" s="2"/>
      <c r="E47" s="5" t="s">
        <v>46</v>
      </c>
      <c r="F47" s="42">
        <v>14</v>
      </c>
      <c r="G47" s="42">
        <v>17</v>
      </c>
      <c r="H47" s="42">
        <v>5</v>
      </c>
      <c r="I47" s="42">
        <v>0</v>
      </c>
      <c r="J47" s="42">
        <v>53</v>
      </c>
      <c r="K47" s="42">
        <v>97</v>
      </c>
      <c r="L47" s="42">
        <v>3</v>
      </c>
      <c r="M47" s="42">
        <v>158</v>
      </c>
      <c r="N47" s="42">
        <v>105</v>
      </c>
      <c r="O47" s="42">
        <v>106</v>
      </c>
      <c r="P47" s="42">
        <v>103</v>
      </c>
      <c r="Q47" s="42">
        <v>240</v>
      </c>
      <c r="R47" s="2"/>
      <c r="S47" s="28"/>
      <c r="T47" s="28"/>
    </row>
    <row r="48" spans="1:20" s="1" customFormat="1" x14ac:dyDescent="0.3">
      <c r="D48" s="2"/>
      <c r="E48" s="5" t="s">
        <v>6</v>
      </c>
      <c r="F48" s="23">
        <v>4073303.1000000066</v>
      </c>
      <c r="G48" s="23">
        <v>4097778.090000004</v>
      </c>
      <c r="H48" s="23">
        <v>4116664.4699999997</v>
      </c>
      <c r="I48" s="23">
        <v>4160236.480000007</v>
      </c>
      <c r="J48" s="23">
        <v>4199877.9900000058</v>
      </c>
      <c r="K48" s="23">
        <v>4268065.9800000098</v>
      </c>
      <c r="L48" s="23">
        <v>4957215.7199999392</v>
      </c>
      <c r="M48" s="23">
        <v>4862602.8299999386</v>
      </c>
      <c r="N48" s="23">
        <v>4765295.7999999262</v>
      </c>
      <c r="O48" s="23">
        <v>4678540.5699999332</v>
      </c>
      <c r="P48" s="23">
        <v>4578527.7399999266</v>
      </c>
      <c r="Q48" s="23">
        <v>4529750.0899999356</v>
      </c>
      <c r="R48" s="2"/>
      <c r="S48" s="28"/>
      <c r="T48" s="28"/>
    </row>
    <row r="49" spans="1:20" s="1" customFormat="1" x14ac:dyDescent="0.3">
      <c r="D49" s="2"/>
      <c r="E49" s="5" t="s">
        <v>5</v>
      </c>
      <c r="F49" s="23">
        <v>3585404.0800000089</v>
      </c>
      <c r="G49" s="23">
        <v>3437176.5400000056</v>
      </c>
      <c r="H49" s="23">
        <v>3590883.0300000035</v>
      </c>
      <c r="I49" s="23">
        <v>3431928.580000008</v>
      </c>
      <c r="J49" s="23">
        <v>3632212.51000001</v>
      </c>
      <c r="K49" s="23">
        <v>3696556.4800000126</v>
      </c>
      <c r="L49" s="23">
        <v>4131524.6899999413</v>
      </c>
      <c r="M49" s="23">
        <v>4164095.1399999415</v>
      </c>
      <c r="N49" s="23">
        <v>4104220.9899999276</v>
      </c>
      <c r="O49" s="23">
        <v>4075821.4399999343</v>
      </c>
      <c r="P49" s="23">
        <v>3970420.0699999277</v>
      </c>
      <c r="Q49" s="23">
        <v>3889603.2599999364</v>
      </c>
      <c r="R49" s="2"/>
      <c r="S49" s="28"/>
      <c r="T49" s="28"/>
    </row>
    <row r="50" spans="1:20" s="1" customFormat="1" x14ac:dyDescent="0.3">
      <c r="D50" s="2"/>
      <c r="E50" s="5" t="s">
        <v>49</v>
      </c>
      <c r="F50" s="10">
        <f>IFERROR((1-F49/F48),0)</f>
        <v>0.11977969918320019</v>
      </c>
      <c r="G50" s="10">
        <f>IFERROR((1-G49/G48),0)</f>
        <v>0.16120969351954284</v>
      </c>
      <c r="H50" s="10">
        <f>IFERROR((1-H49/H48),0)</f>
        <v>0.12772025600619241</v>
      </c>
      <c r="I50" s="10">
        <f>IFERROR((1-I49/I48),0)</f>
        <v>0.17506406270443498</v>
      </c>
      <c r="J50" s="10">
        <f>IFERROR((1-J49/J48),0)</f>
        <v>0.13516237408601361</v>
      </c>
      <c r="K50" s="10">
        <f>IFERROR((1-K49/K48),0)</f>
        <v>0.13390362348615703</v>
      </c>
      <c r="L50" s="10">
        <f>IFERROR((1-L49/L48),0)</f>
        <v>0.16656346558991553</v>
      </c>
      <c r="M50" s="10">
        <f>IFERROR((1-M49/M48),0)</f>
        <v>0.14364892927107642</v>
      </c>
      <c r="N50" s="10">
        <f>IFERROR((1-N49/N48),0)</f>
        <v>0.1387269201630692</v>
      </c>
      <c r="O50" s="10">
        <f>IFERROR((1-O49/O48),0)</f>
        <v>0.12882631260372024</v>
      </c>
      <c r="P50" s="10">
        <f>IFERROR((1-P49/P48),0)</f>
        <v>0.1328172951071841</v>
      </c>
      <c r="Q50" s="10">
        <f>IFERROR((1-Q49/Q48),0)</f>
        <v>0.14132056234475576</v>
      </c>
      <c r="R50" s="2"/>
      <c r="S50" s="28"/>
      <c r="T50" s="28"/>
    </row>
    <row r="51" spans="1:20" s="1" customFormat="1" x14ac:dyDescent="0.3">
      <c r="D51" s="2"/>
      <c r="E51" s="5" t="s">
        <v>3</v>
      </c>
      <c r="F51" s="8">
        <v>889</v>
      </c>
      <c r="G51" s="8">
        <v>878</v>
      </c>
      <c r="H51" s="8">
        <v>619</v>
      </c>
      <c r="I51" s="8">
        <v>693</v>
      </c>
      <c r="J51" s="8">
        <v>587</v>
      </c>
      <c r="K51" s="8">
        <v>553</v>
      </c>
      <c r="L51" s="8">
        <v>708</v>
      </c>
      <c r="M51" s="8">
        <v>1062</v>
      </c>
      <c r="N51" s="8">
        <v>794</v>
      </c>
      <c r="O51" s="8">
        <v>526</v>
      </c>
      <c r="P51" s="8">
        <v>369</v>
      </c>
      <c r="Q51" s="8">
        <v>423</v>
      </c>
      <c r="R51" s="2"/>
      <c r="S51" s="28"/>
      <c r="T51" s="28"/>
    </row>
    <row r="52" spans="1:20" s="1" customFormat="1" x14ac:dyDescent="0.3">
      <c r="D52" s="2"/>
      <c r="E52" s="5" t="s">
        <v>2</v>
      </c>
      <c r="F52" s="24">
        <f>IFERROR(F48/F37,0)</f>
        <v>379.33536040231019</v>
      </c>
      <c r="G52" s="24">
        <f>IFERROR(G48/G37,0)</f>
        <v>371.74798965798823</v>
      </c>
      <c r="H52" s="24">
        <f>IFERROR(H48/H37,0)</f>
        <v>371.17162293751687</v>
      </c>
      <c r="I52" s="24">
        <f>IFERROR(I48/I37,0)</f>
        <v>369.37196839208087</v>
      </c>
      <c r="J52" s="24">
        <f>IFERROR(J48/J37,0)</f>
        <v>370.13113510178954</v>
      </c>
      <c r="K52" s="24">
        <f>IFERROR(K48/K37,0)</f>
        <v>377.7718162506647</v>
      </c>
      <c r="L52" s="24">
        <f>IFERROR(L48/L37,0)</f>
        <v>457.85681352174555</v>
      </c>
      <c r="M52" s="24">
        <f>IFERROR(M48/M37,0)</f>
        <v>448.66237589960679</v>
      </c>
      <c r="N52" s="24">
        <f>IFERROR(N48/N37,0)</f>
        <v>442.37799851466082</v>
      </c>
      <c r="O52" s="24">
        <f>IFERROR(O48/O37,0)</f>
        <v>440.08471169221457</v>
      </c>
      <c r="P52" s="24">
        <f>IFERROR(P48/P37,0)</f>
        <v>439.44022842882492</v>
      </c>
      <c r="Q52" s="24">
        <f>IFERROR(Q48/Q37,0)</f>
        <v>437.65701352656384</v>
      </c>
      <c r="R52" s="2"/>
      <c r="S52" s="28"/>
      <c r="T52" s="28"/>
    </row>
    <row r="53" spans="1:20" s="1" customFormat="1" x14ac:dyDescent="0.3">
      <c r="D53" s="2"/>
      <c r="E53" s="5" t="s">
        <v>1</v>
      </c>
      <c r="F53" s="56">
        <v>204226.43100000036</v>
      </c>
      <c r="G53" s="56">
        <v>206500.64</v>
      </c>
      <c r="H53" s="56">
        <v>207338.21</v>
      </c>
      <c r="I53" s="56">
        <v>180162</v>
      </c>
      <c r="J53" s="56">
        <v>222479.95</v>
      </c>
      <c r="K53" s="56">
        <v>155209.35999999999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R53" s="2"/>
      <c r="S53" s="28"/>
      <c r="T53" s="28"/>
    </row>
    <row r="54" spans="1:20" s="1" customFormat="1" x14ac:dyDescent="0.3">
      <c r="D54" s="2"/>
      <c r="E54" s="5" t="s">
        <v>0</v>
      </c>
      <c r="F54" s="56">
        <v>143550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R54" s="2"/>
      <c r="S54" s="28"/>
      <c r="T54" s="28"/>
    </row>
    <row r="55" spans="1:20" s="1" customFormat="1" ht="3" customHeight="1" x14ac:dyDescent="0.3">
      <c r="A55" s="2"/>
      <c r="B55" s="2"/>
      <c r="C55" s="2"/>
      <c r="D55" s="2"/>
      <c r="E55" s="2"/>
      <c r="F55" s="55"/>
      <c r="G55" s="55"/>
      <c r="H55" s="55"/>
      <c r="I55" s="61"/>
      <c r="J55" s="55"/>
      <c r="K55" s="60"/>
      <c r="L55" s="29"/>
      <c r="M55" s="29"/>
      <c r="N55" s="29"/>
      <c r="O55" s="29"/>
      <c r="P55" s="29"/>
      <c r="Q55" s="29"/>
      <c r="R55" s="2"/>
      <c r="S55" s="28"/>
      <c r="T55" s="28"/>
    </row>
    <row r="56" spans="1:20" s="1" customFormat="1" hidden="1" x14ac:dyDescent="0.3">
      <c r="A56" s="2"/>
      <c r="B56" s="2"/>
      <c r="C56" s="2"/>
      <c r="D56" s="2"/>
      <c r="E56" s="2"/>
      <c r="F56" s="55">
        <v>40</v>
      </c>
      <c r="G56" s="55">
        <f>F59-G62+G73</f>
        <v>23</v>
      </c>
      <c r="H56" s="55">
        <f>G59-H62+H73</f>
        <v>22</v>
      </c>
      <c r="I56" s="55">
        <f>H59-I62+I73</f>
        <v>20</v>
      </c>
      <c r="J56" s="55">
        <f>I59-J62+J73</f>
        <v>20</v>
      </c>
      <c r="K56" s="55">
        <f>J59-K62+K73</f>
        <v>20</v>
      </c>
      <c r="L56" s="55">
        <f>K59-L62+L73</f>
        <v>20</v>
      </c>
      <c r="M56" s="55">
        <f>L59-M62+M73</f>
        <v>20</v>
      </c>
      <c r="N56" s="55">
        <f>M59-N62+N73</f>
        <v>20</v>
      </c>
      <c r="O56" s="55">
        <f>N59-O62+O73</f>
        <v>19</v>
      </c>
      <c r="P56" s="55">
        <f>O59-P62+P73</f>
        <v>20</v>
      </c>
      <c r="Q56" s="29"/>
      <c r="R56" s="2"/>
      <c r="S56" s="28"/>
      <c r="T56" s="28"/>
    </row>
    <row r="57" spans="1:20" s="1" customFormat="1" hidden="1" x14ac:dyDescent="0.3">
      <c r="A57" s="2"/>
      <c r="B57" s="2"/>
      <c r="C57" s="2"/>
      <c r="D57" s="2"/>
      <c r="E57" s="2"/>
      <c r="F57" s="55">
        <f>F59-F56</f>
        <v>-17</v>
      </c>
      <c r="G57" s="55">
        <f>G59-G56</f>
        <v>-1</v>
      </c>
      <c r="H57" s="55">
        <f>H59-H56</f>
        <v>0</v>
      </c>
      <c r="I57" s="55">
        <f>I59-I56</f>
        <v>0</v>
      </c>
      <c r="J57" s="55">
        <f>J59-J56</f>
        <v>0</v>
      </c>
      <c r="K57" s="55">
        <f>K59-K56</f>
        <v>0</v>
      </c>
      <c r="L57" s="55">
        <f>L59-L56</f>
        <v>0</v>
      </c>
      <c r="M57" s="55">
        <f>M59-M56</f>
        <v>0</v>
      </c>
      <c r="N57" s="55">
        <f>N59-N56</f>
        <v>0</v>
      </c>
      <c r="O57" s="55">
        <f>O59-O56</f>
        <v>1</v>
      </c>
      <c r="P57" s="55">
        <f>P59-P56</f>
        <v>0</v>
      </c>
      <c r="Q57" s="29"/>
      <c r="R57" s="2"/>
      <c r="S57" s="28"/>
      <c r="T57" s="28"/>
    </row>
    <row r="58" spans="1:20" s="1" customFormat="1" x14ac:dyDescent="0.3">
      <c r="D58" s="2"/>
      <c r="E58" s="54" t="s">
        <v>33</v>
      </c>
      <c r="F58" s="54" t="s">
        <v>32</v>
      </c>
      <c r="G58" s="54" t="s">
        <v>31</v>
      </c>
      <c r="H58" s="54" t="s">
        <v>30</v>
      </c>
      <c r="I58" s="54" t="s">
        <v>29</v>
      </c>
      <c r="J58" s="54" t="s">
        <v>28</v>
      </c>
      <c r="K58" s="54" t="s">
        <v>27</v>
      </c>
      <c r="L58" s="54" t="s">
        <v>26</v>
      </c>
      <c r="M58" s="54" t="s">
        <v>25</v>
      </c>
      <c r="N58" s="54" t="s">
        <v>24</v>
      </c>
      <c r="O58" s="54" t="s">
        <v>23</v>
      </c>
      <c r="P58" s="54" t="s">
        <v>22</v>
      </c>
      <c r="Q58" s="54" t="s">
        <v>21</v>
      </c>
      <c r="R58" s="2"/>
      <c r="S58" s="28"/>
      <c r="T58" s="28"/>
    </row>
    <row r="59" spans="1:20" s="1" customFormat="1" x14ac:dyDescent="0.3">
      <c r="D59" s="2"/>
      <c r="E59" s="5" t="s">
        <v>19</v>
      </c>
      <c r="F59" s="8">
        <f>SUM(F60:F61)</f>
        <v>23</v>
      </c>
      <c r="G59" s="8">
        <f>SUM(G60:G61)</f>
        <v>22</v>
      </c>
      <c r="H59" s="8">
        <f>SUM(H60:H61)</f>
        <v>22</v>
      </c>
      <c r="I59" s="8">
        <f>SUM(I60:I61)</f>
        <v>20</v>
      </c>
      <c r="J59" s="8">
        <f>SUM(J60:J61)</f>
        <v>20</v>
      </c>
      <c r="K59" s="8">
        <f>SUM(K60:K61)</f>
        <v>20</v>
      </c>
      <c r="L59" s="8">
        <f>SUM(L60:L61)</f>
        <v>20</v>
      </c>
      <c r="M59" s="8">
        <f>SUM(M60:M61)</f>
        <v>20</v>
      </c>
      <c r="N59" s="8">
        <f>SUM(N60:N61)</f>
        <v>20</v>
      </c>
      <c r="O59" s="8">
        <f>SUM(O60:O61)</f>
        <v>20</v>
      </c>
      <c r="P59" s="8">
        <f>SUM(P60:P61)</f>
        <v>20</v>
      </c>
      <c r="Q59" s="8">
        <f>SUM(Q60:Q61)</f>
        <v>20</v>
      </c>
      <c r="R59" s="2"/>
      <c r="S59" s="28"/>
      <c r="T59" s="28"/>
    </row>
    <row r="60" spans="1:20" s="1" customFormat="1" x14ac:dyDescent="0.3">
      <c r="D60" s="2"/>
      <c r="E60" s="14" t="s">
        <v>41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2"/>
      <c r="S60" s="28"/>
      <c r="T60" s="28"/>
    </row>
    <row r="61" spans="1:20" s="1" customFormat="1" x14ac:dyDescent="0.3">
      <c r="D61" s="2"/>
      <c r="E61" s="14" t="s">
        <v>40</v>
      </c>
      <c r="F61" s="8">
        <v>23</v>
      </c>
      <c r="G61" s="8">
        <v>22</v>
      </c>
      <c r="H61" s="8">
        <v>22</v>
      </c>
      <c r="I61" s="8">
        <v>20</v>
      </c>
      <c r="J61" s="8">
        <v>20</v>
      </c>
      <c r="K61" s="8">
        <v>20</v>
      </c>
      <c r="L61" s="8">
        <v>20</v>
      </c>
      <c r="M61" s="8">
        <v>20</v>
      </c>
      <c r="N61" s="8">
        <v>20</v>
      </c>
      <c r="O61" s="8">
        <v>20</v>
      </c>
      <c r="P61" s="8">
        <v>20</v>
      </c>
      <c r="Q61" s="8">
        <v>20</v>
      </c>
      <c r="R61" s="2"/>
      <c r="S61" s="28"/>
      <c r="T61" s="28"/>
    </row>
    <row r="62" spans="1:20" s="1" customFormat="1" x14ac:dyDescent="0.3">
      <c r="D62" s="2"/>
      <c r="E62" s="5" t="s">
        <v>39</v>
      </c>
      <c r="F62" s="8">
        <f>SUM(F65:F69)</f>
        <v>0</v>
      </c>
      <c r="G62" s="8">
        <f>SUM(G65:G69)</f>
        <v>0</v>
      </c>
      <c r="H62" s="8">
        <f>SUM(H65:H69)</f>
        <v>0</v>
      </c>
      <c r="I62" s="8">
        <f>SUM(I65:I69)</f>
        <v>2</v>
      </c>
      <c r="J62" s="8">
        <f>SUM(J65:J69)</f>
        <v>0</v>
      </c>
      <c r="K62" s="8">
        <f>SUM(K65:K69)</f>
        <v>0</v>
      </c>
      <c r="L62" s="8">
        <f>SUM(L65:L69)</f>
        <v>0</v>
      </c>
      <c r="M62" s="8">
        <f>SUM(M65:M69)</f>
        <v>0</v>
      </c>
      <c r="N62" s="8">
        <f>SUM(N65:N69)</f>
        <v>0</v>
      </c>
      <c r="O62" s="8">
        <f>SUM(O65:O69)</f>
        <v>1</v>
      </c>
      <c r="P62" s="8">
        <f>SUM(P65:P69)</f>
        <v>0</v>
      </c>
      <c r="Q62" s="8">
        <f>SUM(Q65:Q69)</f>
        <v>0</v>
      </c>
      <c r="R62" s="2"/>
      <c r="S62" s="28"/>
      <c r="T62" s="28"/>
    </row>
    <row r="63" spans="1:20" s="1" customFormat="1" x14ac:dyDescent="0.3">
      <c r="D63" s="2"/>
      <c r="E63" s="5" t="s">
        <v>15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2"/>
      <c r="S63" s="28"/>
      <c r="T63" s="28"/>
    </row>
    <row r="64" spans="1:20" s="1" customFormat="1" x14ac:dyDescent="0.3">
      <c r="D64" s="2"/>
      <c r="E64" s="5" t="s">
        <v>14</v>
      </c>
      <c r="F64" s="10">
        <v>0</v>
      </c>
      <c r="G64" s="10">
        <f>IFERROR(G62/F59,0)</f>
        <v>0</v>
      </c>
      <c r="H64" s="10">
        <f>IFERROR(H62/G59,0)</f>
        <v>0</v>
      </c>
      <c r="I64" s="10">
        <f>IFERROR(I62/H59,0)</f>
        <v>9.0909090909090912E-2</v>
      </c>
      <c r="J64" s="10">
        <f>IFERROR(J62/I59,0)</f>
        <v>0</v>
      </c>
      <c r="K64" s="10">
        <f>IFERROR(K62/J59,0)</f>
        <v>0</v>
      </c>
      <c r="L64" s="10">
        <f>IFERROR(L62/K59,0)</f>
        <v>0</v>
      </c>
      <c r="M64" s="10">
        <f>IFERROR(M62/L59,0)</f>
        <v>0</v>
      </c>
      <c r="N64" s="10">
        <f>IFERROR(N62/M59,0)</f>
        <v>0</v>
      </c>
      <c r="O64" s="10">
        <f>IFERROR(O62/N59,0)</f>
        <v>0.05</v>
      </c>
      <c r="P64" s="10">
        <f>IFERROR(P62/O59,0)</f>
        <v>0</v>
      </c>
      <c r="Q64" s="10">
        <f>IFERROR(Q62/P59,0)</f>
        <v>0</v>
      </c>
      <c r="R64" s="2"/>
      <c r="S64" s="28"/>
      <c r="T64" s="28"/>
    </row>
    <row r="65" spans="1:20" s="1" customFormat="1" x14ac:dyDescent="0.3">
      <c r="D65" s="2"/>
      <c r="E65" s="5" t="s">
        <v>13</v>
      </c>
      <c r="F65" s="8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0</v>
      </c>
      <c r="P65" s="8">
        <v>0</v>
      </c>
      <c r="Q65" s="8">
        <v>0</v>
      </c>
      <c r="R65" s="2"/>
      <c r="S65" s="28"/>
      <c r="T65" s="28"/>
    </row>
    <row r="66" spans="1:20" s="1" customFormat="1" x14ac:dyDescent="0.3">
      <c r="D66" s="2"/>
      <c r="E66" s="5" t="s">
        <v>12</v>
      </c>
      <c r="F66" s="8">
        <v>0</v>
      </c>
      <c r="G66" s="8">
        <v>0</v>
      </c>
      <c r="H66" s="8">
        <v>0</v>
      </c>
      <c r="I66" s="8">
        <v>2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2"/>
      <c r="S66" s="28"/>
      <c r="T66" s="28"/>
    </row>
    <row r="67" spans="1:20" s="1" customFormat="1" x14ac:dyDescent="0.3">
      <c r="D67" s="2"/>
      <c r="E67" s="5" t="s">
        <v>11</v>
      </c>
      <c r="F67" s="8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2"/>
      <c r="S67" s="28"/>
      <c r="T67" s="28"/>
    </row>
    <row r="68" spans="1:20" s="1" customFormat="1" x14ac:dyDescent="0.3">
      <c r="D68" s="2"/>
      <c r="E68" s="5" t="s">
        <v>50</v>
      </c>
      <c r="F68" s="42">
        <v>0</v>
      </c>
      <c r="G68" s="42">
        <v>0</v>
      </c>
      <c r="H68" s="42">
        <v>0</v>
      </c>
      <c r="I68" s="42">
        <v>0</v>
      </c>
      <c r="J68" s="42">
        <v>0</v>
      </c>
      <c r="K68" s="42">
        <v>0</v>
      </c>
      <c r="L68" s="42">
        <v>0</v>
      </c>
      <c r="M68" s="42">
        <v>0</v>
      </c>
      <c r="N68" s="42">
        <v>0</v>
      </c>
      <c r="O68" s="42">
        <v>0</v>
      </c>
      <c r="P68" s="42">
        <v>0</v>
      </c>
      <c r="Q68" s="42">
        <v>0</v>
      </c>
      <c r="R68" s="2"/>
      <c r="S68" s="28"/>
      <c r="T68" s="28"/>
    </row>
    <row r="69" spans="1:20" s="1" customFormat="1" x14ac:dyDescent="0.3">
      <c r="D69" s="2"/>
      <c r="E69" s="5" t="s">
        <v>46</v>
      </c>
      <c r="F69" s="42">
        <v>0</v>
      </c>
      <c r="G69" s="42">
        <v>0</v>
      </c>
      <c r="H69" s="42">
        <v>0</v>
      </c>
      <c r="I69" s="42">
        <v>0</v>
      </c>
      <c r="J69" s="42">
        <v>0</v>
      </c>
      <c r="K69" s="42">
        <v>0</v>
      </c>
      <c r="L69" s="42">
        <v>0</v>
      </c>
      <c r="M69" s="42">
        <v>0</v>
      </c>
      <c r="N69" s="42">
        <v>0</v>
      </c>
      <c r="O69" s="42">
        <v>1</v>
      </c>
      <c r="P69" s="42">
        <v>0</v>
      </c>
      <c r="Q69" s="42">
        <v>0</v>
      </c>
      <c r="R69" s="2"/>
      <c r="S69" s="28"/>
      <c r="T69" s="28"/>
    </row>
    <row r="70" spans="1:20" s="1" customFormat="1" x14ac:dyDescent="0.3">
      <c r="D70" s="2"/>
      <c r="E70" s="5" t="s">
        <v>6</v>
      </c>
      <c r="F70" s="23">
        <v>21093.440000000002</v>
      </c>
      <c r="G70" s="23">
        <v>23578.6</v>
      </c>
      <c r="H70" s="23">
        <v>21665.499999999996</v>
      </c>
      <c r="I70" s="23">
        <v>20992.43</v>
      </c>
      <c r="J70" s="23">
        <v>20580.019999999997</v>
      </c>
      <c r="K70" s="23">
        <v>20580.019999999997</v>
      </c>
      <c r="L70" s="23">
        <v>20580.02</v>
      </c>
      <c r="M70" s="23">
        <v>20580.02</v>
      </c>
      <c r="N70" s="23">
        <v>20580.02</v>
      </c>
      <c r="O70" s="23">
        <v>21400.57</v>
      </c>
      <c r="P70" s="23">
        <v>27894.31</v>
      </c>
      <c r="Q70" s="23">
        <v>27894.310000000005</v>
      </c>
      <c r="R70" s="2"/>
      <c r="S70" s="28"/>
      <c r="T70" s="28"/>
    </row>
    <row r="71" spans="1:20" s="1" customFormat="1" x14ac:dyDescent="0.3">
      <c r="D71" s="2"/>
      <c r="E71" s="5" t="s">
        <v>5</v>
      </c>
      <c r="F71" s="23">
        <v>11244.29</v>
      </c>
      <c r="G71" s="23">
        <v>16725.05</v>
      </c>
      <c r="H71" s="23">
        <v>14811.949999999997</v>
      </c>
      <c r="I71" s="23">
        <v>15768.5</v>
      </c>
      <c r="J71" s="23">
        <v>15768.499999999998</v>
      </c>
      <c r="K71" s="23">
        <v>15210.159999999998</v>
      </c>
      <c r="L71" s="23">
        <v>15768.5</v>
      </c>
      <c r="M71" s="23">
        <v>15768.5</v>
      </c>
      <c r="N71" s="23">
        <v>15768.5</v>
      </c>
      <c r="O71" s="23">
        <v>16589.05</v>
      </c>
      <c r="P71" s="23">
        <v>14088.52</v>
      </c>
      <c r="Q71" s="23">
        <v>17956.640000000003</v>
      </c>
      <c r="R71" s="2"/>
      <c r="S71" s="28"/>
      <c r="T71" s="28"/>
    </row>
    <row r="72" spans="1:20" s="1" customFormat="1" x14ac:dyDescent="0.3">
      <c r="D72" s="2"/>
      <c r="E72" s="5" t="s">
        <v>49</v>
      </c>
      <c r="F72" s="10">
        <f>IFERROR((1-F71/F70),0)</f>
        <v>0.4669295288013714</v>
      </c>
      <c r="G72" s="10">
        <f>IFERROR((1-G71/G70),0)</f>
        <v>0.29066823305879064</v>
      </c>
      <c r="H72" s="10">
        <f>IFERROR((1-H71/H70),0)</f>
        <v>0.31633472571600008</v>
      </c>
      <c r="I72" s="10">
        <f>IFERROR((1-I71/I70),0)</f>
        <v>0.2488482753068606</v>
      </c>
      <c r="J72" s="10">
        <f>IFERROR((1-J71/J70),0)</f>
        <v>0.23379569116064991</v>
      </c>
      <c r="K72" s="10">
        <f>IFERROR((1-K71/K70),0)</f>
        <v>0.26092588831303365</v>
      </c>
      <c r="L72" s="10">
        <f>IFERROR((1-L71/L70),0)</f>
        <v>0.23379569116065002</v>
      </c>
      <c r="M72" s="10">
        <f>IFERROR((1-M71/M70),0)</f>
        <v>0.23379569116065002</v>
      </c>
      <c r="N72" s="10">
        <f>IFERROR((1-N71/N70),0)</f>
        <v>0.23379569116065002</v>
      </c>
      <c r="O72" s="10">
        <f>IFERROR((1-O71/O70),0)</f>
        <v>0.22483139467780533</v>
      </c>
      <c r="P72" s="10">
        <f>IFERROR((1-P71/P70),0)</f>
        <v>0.49493212056509017</v>
      </c>
      <c r="Q72" s="10">
        <f>IFERROR((1-Q71/Q70),0)</f>
        <v>0.35626154581346514</v>
      </c>
      <c r="R72" s="2"/>
      <c r="S72" s="28"/>
      <c r="T72" s="28"/>
    </row>
    <row r="73" spans="1:20" s="1" customFormat="1" x14ac:dyDescent="0.3">
      <c r="D73" s="2"/>
      <c r="E73" s="5" t="s">
        <v>3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  <c r="R73" s="2"/>
      <c r="S73" s="28"/>
      <c r="T73" s="28"/>
    </row>
    <row r="74" spans="1:20" s="1" customFormat="1" x14ac:dyDescent="0.3">
      <c r="D74" s="2"/>
      <c r="E74" s="5" t="s">
        <v>2</v>
      </c>
      <c r="F74" s="24">
        <f>IFERROR(F70/F59,0)</f>
        <v>917.10608695652184</v>
      </c>
      <c r="G74" s="24">
        <f>IFERROR(G70/G59,0)</f>
        <v>1071.7545454545455</v>
      </c>
      <c r="H74" s="24">
        <f>IFERROR(H70/H59,0)</f>
        <v>984.79545454545439</v>
      </c>
      <c r="I74" s="24">
        <f>IFERROR(I70/I59,0)</f>
        <v>1049.6215</v>
      </c>
      <c r="J74" s="24">
        <f>IFERROR(J70/J59,0)</f>
        <v>1029.0009999999997</v>
      </c>
      <c r="K74" s="24">
        <f>IFERROR(K70/K59,0)</f>
        <v>1029.0009999999997</v>
      </c>
      <c r="L74" s="24">
        <f>IFERROR(L70/L59,0)</f>
        <v>1029.001</v>
      </c>
      <c r="M74" s="24">
        <f>IFERROR(M70/M59,0)</f>
        <v>1029.001</v>
      </c>
      <c r="N74" s="24">
        <f>IFERROR(N70/N59,0)</f>
        <v>1029.001</v>
      </c>
      <c r="O74" s="24">
        <f>IFERROR(O70/O59,0)</f>
        <v>1070.0284999999999</v>
      </c>
      <c r="P74" s="24">
        <f>IFERROR(P70/P59,0)</f>
        <v>1394.7155</v>
      </c>
      <c r="Q74" s="24">
        <f>IFERROR(Q70/Q59,0)</f>
        <v>1394.7155000000002</v>
      </c>
      <c r="R74" s="2"/>
      <c r="S74" s="28"/>
      <c r="T74" s="28"/>
    </row>
    <row r="75" spans="1:20" s="1" customFormat="1" x14ac:dyDescent="0.3">
      <c r="D75" s="2"/>
      <c r="E75" s="5" t="s">
        <v>1</v>
      </c>
      <c r="F75" s="56">
        <v>9.2469000000000001</v>
      </c>
      <c r="G75" s="56">
        <v>0</v>
      </c>
      <c r="H75" s="56">
        <v>0</v>
      </c>
      <c r="I75" s="56">
        <v>0</v>
      </c>
      <c r="J75" s="56">
        <v>0</v>
      </c>
      <c r="K75" s="56">
        <v>0</v>
      </c>
      <c r="L75" s="56">
        <v>0</v>
      </c>
      <c r="M75" s="56">
        <v>0</v>
      </c>
      <c r="N75" s="56">
        <v>0</v>
      </c>
      <c r="O75" s="56">
        <v>0</v>
      </c>
      <c r="P75" s="56">
        <v>0</v>
      </c>
      <c r="Q75" s="56">
        <v>0</v>
      </c>
      <c r="R75" s="2"/>
      <c r="S75" s="28"/>
      <c r="T75" s="28"/>
    </row>
    <row r="76" spans="1:20" s="1" customFormat="1" ht="15" customHeight="1" x14ac:dyDescent="0.3">
      <c r="D76" s="2"/>
      <c r="E76" s="5" t="s">
        <v>0</v>
      </c>
      <c r="F76" s="56">
        <v>0</v>
      </c>
      <c r="G76" s="56">
        <v>0</v>
      </c>
      <c r="H76" s="56">
        <v>0</v>
      </c>
      <c r="I76" s="56">
        <v>0</v>
      </c>
      <c r="J76" s="56">
        <v>0</v>
      </c>
      <c r="K76" s="56">
        <v>0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R76" s="2"/>
      <c r="S76" s="28"/>
      <c r="T76" s="28"/>
    </row>
    <row r="77" spans="1:20" s="1" customFormat="1" ht="3" customHeight="1" x14ac:dyDescent="0.3">
      <c r="A77" s="2"/>
      <c r="B77" s="2"/>
      <c r="C77" s="2"/>
      <c r="D77" s="2"/>
      <c r="E77" s="2"/>
      <c r="F77" s="55"/>
      <c r="G77" s="55"/>
      <c r="H77" s="55"/>
      <c r="I77" s="61"/>
      <c r="J77" s="55"/>
      <c r="K77" s="60"/>
      <c r="L77" s="29"/>
      <c r="M77" s="29"/>
      <c r="N77" s="29"/>
      <c r="O77" s="29"/>
      <c r="P77" s="29"/>
      <c r="Q77" s="29"/>
      <c r="R77" s="2"/>
      <c r="S77" s="28"/>
      <c r="T77" s="28"/>
    </row>
    <row r="78" spans="1:20" s="1" customFormat="1" hidden="1" x14ac:dyDescent="0.3">
      <c r="A78" s="2"/>
      <c r="B78" s="2"/>
      <c r="C78" s="2"/>
      <c r="D78" s="2"/>
      <c r="E78" s="2"/>
      <c r="F78" s="55">
        <v>352</v>
      </c>
      <c r="G78" s="55" t="e">
        <f>F82-G85+#REF!</f>
        <v>#REF!</v>
      </c>
      <c r="H78" s="55" t="e">
        <f>G82-H85+#REF!</f>
        <v>#REF!</v>
      </c>
      <c r="I78" s="55" t="e">
        <f>H82-I85+#REF!</f>
        <v>#REF!</v>
      </c>
      <c r="J78" s="55" t="e">
        <f>I82-J85+#REF!</f>
        <v>#REF!</v>
      </c>
      <c r="K78" s="55" t="e">
        <f>J82-K85+#REF!</f>
        <v>#REF!</v>
      </c>
      <c r="L78" s="55">
        <f>K82-L85+L96</f>
        <v>678</v>
      </c>
      <c r="M78" s="55">
        <f>L82-M85+M96</f>
        <v>709</v>
      </c>
      <c r="N78" s="55">
        <f>M82-N85+N96</f>
        <v>718</v>
      </c>
      <c r="O78" s="55">
        <f>N82-O85+O96</f>
        <v>671</v>
      </c>
      <c r="P78" s="55">
        <f>O82-P85+P96</f>
        <v>603</v>
      </c>
      <c r="Q78" s="29"/>
      <c r="R78" s="2"/>
      <c r="S78" s="28"/>
      <c r="T78" s="28"/>
    </row>
    <row r="79" spans="1:20" s="1" customFormat="1" hidden="1" x14ac:dyDescent="0.3">
      <c r="A79" s="2"/>
      <c r="B79" s="2"/>
      <c r="C79" s="2"/>
      <c r="D79" s="2"/>
      <c r="E79" s="2"/>
      <c r="F79" s="55">
        <f>F82-F78</f>
        <v>87</v>
      </c>
      <c r="G79" s="55" t="e">
        <f>G82-G78</f>
        <v>#REF!</v>
      </c>
      <c r="H79" s="55" t="e">
        <f>H82-H78</f>
        <v>#REF!</v>
      </c>
      <c r="I79" s="55" t="e">
        <f>I82-I78</f>
        <v>#REF!</v>
      </c>
      <c r="J79" s="55" t="e">
        <f>J82-J78</f>
        <v>#REF!</v>
      </c>
      <c r="K79" s="55" t="e">
        <f>K82-K78</f>
        <v>#REF!</v>
      </c>
      <c r="L79" s="55">
        <f>L82-L78</f>
        <v>0</v>
      </c>
      <c r="M79" s="55">
        <f>M82-M78</f>
        <v>2</v>
      </c>
      <c r="N79" s="55">
        <f>N82-N78</f>
        <v>5</v>
      </c>
      <c r="O79" s="55">
        <f>O82-O78</f>
        <v>8</v>
      </c>
      <c r="P79" s="55">
        <f>P82-P78</f>
        <v>-1</v>
      </c>
      <c r="Q79" s="29"/>
      <c r="R79" s="2"/>
      <c r="S79" s="28"/>
      <c r="T79" s="28"/>
    </row>
    <row r="80" spans="1:20" s="1" customFormat="1" x14ac:dyDescent="0.3">
      <c r="D80" s="2"/>
      <c r="E80" s="54" t="s">
        <v>33</v>
      </c>
      <c r="F80" s="54" t="s">
        <v>32</v>
      </c>
      <c r="G80" s="54" t="s">
        <v>31</v>
      </c>
      <c r="H80" s="54" t="s">
        <v>30</v>
      </c>
      <c r="I80" s="54" t="s">
        <v>29</v>
      </c>
      <c r="J80" s="54" t="s">
        <v>28</v>
      </c>
      <c r="K80" s="54" t="s">
        <v>27</v>
      </c>
      <c r="L80" s="54" t="s">
        <v>26</v>
      </c>
      <c r="M80" s="54" t="s">
        <v>25</v>
      </c>
      <c r="N80" s="54" t="s">
        <v>24</v>
      </c>
      <c r="O80" s="54" t="s">
        <v>23</v>
      </c>
      <c r="P80" s="54" t="s">
        <v>22</v>
      </c>
      <c r="Q80" s="54" t="s">
        <v>21</v>
      </c>
      <c r="R80" s="2"/>
      <c r="S80" s="28"/>
      <c r="T80" s="28"/>
    </row>
    <row r="81" spans="4:20" s="1" customFormat="1" x14ac:dyDescent="0.3">
      <c r="D81" s="2"/>
      <c r="E81" s="5" t="s">
        <v>20</v>
      </c>
      <c r="F81" s="8">
        <v>410.24938423645318</v>
      </c>
      <c r="G81" s="8">
        <v>423.24938423645318</v>
      </c>
      <c r="H81" s="8">
        <v>439.24938423645324</v>
      </c>
      <c r="I81" s="8">
        <v>454.24938423645324</v>
      </c>
      <c r="J81" s="8">
        <v>467.24938423645324</v>
      </c>
      <c r="K81" s="8">
        <v>484.24938423645324</v>
      </c>
      <c r="L81" s="8">
        <v>497.24938423645324</v>
      </c>
      <c r="M81" s="8">
        <v>512.24938423645324</v>
      </c>
      <c r="N81" s="8">
        <v>528.24938423645324</v>
      </c>
      <c r="O81" s="8">
        <v>529.24938423645324</v>
      </c>
      <c r="P81" s="8">
        <v>542.24938423645324</v>
      </c>
      <c r="Q81" s="8">
        <v>556.240163504522</v>
      </c>
      <c r="R81" s="2"/>
      <c r="S81" s="28"/>
      <c r="T81" s="28"/>
    </row>
    <row r="82" spans="4:20" s="1" customFormat="1" x14ac:dyDescent="0.3">
      <c r="D82" s="2"/>
      <c r="E82" s="5" t="s">
        <v>19</v>
      </c>
      <c r="F82" s="8">
        <f>SUM(F83:F84)</f>
        <v>439</v>
      </c>
      <c r="G82" s="8">
        <f>SUM(G83:G84)</f>
        <v>511</v>
      </c>
      <c r="H82" s="8">
        <f>SUM(H83:H84)</f>
        <v>540</v>
      </c>
      <c r="I82" s="8">
        <f>SUM(I83:I84)</f>
        <v>598</v>
      </c>
      <c r="J82" s="8">
        <f>SUM(J83:J84)</f>
        <v>640</v>
      </c>
      <c r="K82" s="8">
        <f>SUM(K83:K84)</f>
        <v>662</v>
      </c>
      <c r="L82" s="8">
        <f>SUM(L83:L84)</f>
        <v>678</v>
      </c>
      <c r="M82" s="8">
        <f>SUM(M83:M84)</f>
        <v>711</v>
      </c>
      <c r="N82" s="8">
        <f>SUM(N83:N84)</f>
        <v>723</v>
      </c>
      <c r="O82" s="8">
        <f>SUM(O83:O84)</f>
        <v>679</v>
      </c>
      <c r="P82" s="8">
        <f>SUM(P83:P84)</f>
        <v>602</v>
      </c>
      <c r="Q82" s="8">
        <f>SUM(Q83:Q84)</f>
        <v>560</v>
      </c>
      <c r="R82" s="2"/>
      <c r="S82" s="28"/>
      <c r="T82" s="28"/>
    </row>
    <row r="83" spans="4:20" s="1" customFormat="1" x14ac:dyDescent="0.3">
      <c r="D83" s="2"/>
      <c r="E83" s="14" t="s">
        <v>41</v>
      </c>
      <c r="F83" s="8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2"/>
      <c r="S83" s="28"/>
      <c r="T83" s="28"/>
    </row>
    <row r="84" spans="4:20" s="1" customFormat="1" x14ac:dyDescent="0.3">
      <c r="D84" s="2"/>
      <c r="E84" s="14" t="s">
        <v>40</v>
      </c>
      <c r="F84" s="8">
        <v>439</v>
      </c>
      <c r="G84" s="8">
        <v>511</v>
      </c>
      <c r="H84" s="8">
        <v>540</v>
      </c>
      <c r="I84" s="8">
        <v>598</v>
      </c>
      <c r="J84" s="8">
        <v>640</v>
      </c>
      <c r="K84" s="8">
        <v>662</v>
      </c>
      <c r="L84" s="8">
        <v>678</v>
      </c>
      <c r="M84" s="8">
        <v>711</v>
      </c>
      <c r="N84" s="8">
        <v>723</v>
      </c>
      <c r="O84" s="8">
        <v>679</v>
      </c>
      <c r="P84" s="8">
        <v>602</v>
      </c>
      <c r="Q84" s="8">
        <v>560</v>
      </c>
      <c r="R84" s="2"/>
      <c r="S84" s="28"/>
      <c r="T84" s="28"/>
    </row>
    <row r="85" spans="4:20" s="1" customFormat="1" x14ac:dyDescent="0.3">
      <c r="D85" s="2"/>
      <c r="E85" s="5" t="s">
        <v>39</v>
      </c>
      <c r="F85" s="8">
        <v>45</v>
      </c>
      <c r="G85" s="8">
        <f>SUM(G88:G92)</f>
        <v>31</v>
      </c>
      <c r="H85" s="8">
        <f>SUM(H88:H92)</f>
        <v>52</v>
      </c>
      <c r="I85" s="8">
        <f>SUM(I88:I92)</f>
        <v>60</v>
      </c>
      <c r="J85" s="8">
        <f>SUM(J88:J92)</f>
        <v>61</v>
      </c>
      <c r="K85" s="8">
        <f>SUM(K88:K92)</f>
        <v>63</v>
      </c>
      <c r="L85" s="8">
        <f>SUM(L88:L92)</f>
        <v>58</v>
      </c>
      <c r="M85" s="8">
        <f>SUM(M88:M92)</f>
        <v>54</v>
      </c>
      <c r="N85" s="8">
        <f>SUM(N88:N92)</f>
        <v>70</v>
      </c>
      <c r="O85" s="8">
        <f>SUM(O88:O92)</f>
        <v>89</v>
      </c>
      <c r="P85" s="8">
        <f>SUM(P88:P92)</f>
        <v>83</v>
      </c>
      <c r="Q85" s="8">
        <f>SUM(Q88:Q92)</f>
        <v>41</v>
      </c>
      <c r="R85" s="2"/>
      <c r="S85" s="28"/>
      <c r="T85" s="28"/>
    </row>
    <row r="86" spans="4:20" s="1" customFormat="1" x14ac:dyDescent="0.3">
      <c r="D86" s="2"/>
      <c r="E86" s="5" t="s">
        <v>15</v>
      </c>
      <c r="F86" s="8">
        <v>1</v>
      </c>
      <c r="G86" s="8">
        <v>0</v>
      </c>
      <c r="H86" s="8">
        <v>12</v>
      </c>
      <c r="I86" s="8">
        <v>6</v>
      </c>
      <c r="J86" s="8">
        <v>2</v>
      </c>
      <c r="K86" s="8">
        <v>2</v>
      </c>
      <c r="L86" s="8">
        <v>1</v>
      </c>
      <c r="M86" s="8">
        <v>0</v>
      </c>
      <c r="N86" s="8">
        <v>2</v>
      </c>
      <c r="O86" s="8">
        <v>7</v>
      </c>
      <c r="P86" s="8">
        <v>1</v>
      </c>
      <c r="Q86" s="8">
        <v>0</v>
      </c>
      <c r="R86" s="2"/>
      <c r="S86" s="28"/>
      <c r="T86" s="28"/>
    </row>
    <row r="87" spans="4:20" s="1" customFormat="1" x14ac:dyDescent="0.3">
      <c r="D87" s="2"/>
      <c r="E87" s="5" t="s">
        <v>14</v>
      </c>
      <c r="F87" s="10">
        <v>0.10948905109489052</v>
      </c>
      <c r="G87" s="10">
        <f>IFERROR(G85/F82,0)</f>
        <v>7.0615034168564919E-2</v>
      </c>
      <c r="H87" s="10">
        <f>IFERROR(H85/G82,0)</f>
        <v>0.10176125244618395</v>
      </c>
      <c r="I87" s="10">
        <f>IFERROR(I85/H82,0)</f>
        <v>0.1111111111111111</v>
      </c>
      <c r="J87" s="10">
        <f>IFERROR(J85/I82,0)</f>
        <v>0.1020066889632107</v>
      </c>
      <c r="K87" s="10">
        <f>IFERROR(K85/J82,0)</f>
        <v>9.8437499999999997E-2</v>
      </c>
      <c r="L87" s="10">
        <f>IFERROR(L85/K82,0)</f>
        <v>8.7613293051359523E-2</v>
      </c>
      <c r="M87" s="10">
        <f>IFERROR(M85/L82,0)</f>
        <v>7.9646017699115043E-2</v>
      </c>
      <c r="N87" s="10">
        <f>IFERROR(N85/M82,0)</f>
        <v>9.8452883263009841E-2</v>
      </c>
      <c r="O87" s="10">
        <f>IFERROR(O85/N82,0)</f>
        <v>0.12309820193637622</v>
      </c>
      <c r="P87" s="10">
        <f>IFERROR(P85/O82,0)</f>
        <v>0.12223858615611193</v>
      </c>
      <c r="Q87" s="10">
        <f>IFERROR(Q85/P82,0)</f>
        <v>6.8106312292358806E-2</v>
      </c>
      <c r="R87" s="2"/>
      <c r="S87" s="28"/>
      <c r="T87" s="28"/>
    </row>
    <row r="88" spans="4:20" s="1" customFormat="1" x14ac:dyDescent="0.3">
      <c r="D88" s="2"/>
      <c r="E88" s="5" t="s">
        <v>13</v>
      </c>
      <c r="F88" s="8">
        <v>29</v>
      </c>
      <c r="G88" s="8">
        <v>14</v>
      </c>
      <c r="H88" s="8">
        <v>33</v>
      </c>
      <c r="I88" s="8">
        <v>33</v>
      </c>
      <c r="J88" s="8">
        <v>39</v>
      </c>
      <c r="K88" s="8">
        <v>44</v>
      </c>
      <c r="L88" s="8">
        <v>31</v>
      </c>
      <c r="M88" s="8">
        <v>38</v>
      </c>
      <c r="N88" s="8">
        <v>35</v>
      </c>
      <c r="O88" s="8">
        <v>35</v>
      </c>
      <c r="P88" s="8">
        <v>57</v>
      </c>
      <c r="Q88" s="8">
        <v>31</v>
      </c>
      <c r="R88" s="2"/>
      <c r="S88" s="28"/>
      <c r="T88" s="28"/>
    </row>
    <row r="89" spans="4:20" s="1" customFormat="1" x14ac:dyDescent="0.3">
      <c r="D89" s="2"/>
      <c r="E89" s="5" t="s">
        <v>12</v>
      </c>
      <c r="F89" s="8">
        <v>13</v>
      </c>
      <c r="G89" s="8">
        <v>16</v>
      </c>
      <c r="H89" s="8">
        <v>16</v>
      </c>
      <c r="I89" s="8">
        <v>26</v>
      </c>
      <c r="J89" s="8">
        <v>21</v>
      </c>
      <c r="K89" s="8">
        <v>18</v>
      </c>
      <c r="L89" s="8">
        <v>26</v>
      </c>
      <c r="M89" s="8">
        <v>15</v>
      </c>
      <c r="N89" s="8">
        <v>35</v>
      </c>
      <c r="O89" s="8">
        <v>54</v>
      </c>
      <c r="P89" s="8">
        <v>22</v>
      </c>
      <c r="Q89" s="8">
        <v>0</v>
      </c>
      <c r="R89" s="2"/>
      <c r="S89" s="28"/>
      <c r="T89" s="28"/>
    </row>
    <row r="90" spans="4:20" s="1" customFormat="1" x14ac:dyDescent="0.3">
      <c r="D90" s="2"/>
      <c r="E90" s="5" t="s">
        <v>11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2"/>
      <c r="S90" s="28"/>
      <c r="T90" s="28"/>
    </row>
    <row r="91" spans="4:20" s="1" customFormat="1" x14ac:dyDescent="0.3">
      <c r="D91" s="2"/>
      <c r="E91" s="5" t="s">
        <v>50</v>
      </c>
      <c r="F91" s="42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R91" s="2"/>
      <c r="S91" s="28"/>
      <c r="T91" s="28"/>
    </row>
    <row r="92" spans="4:20" s="1" customFormat="1" x14ac:dyDescent="0.3">
      <c r="D92" s="2"/>
      <c r="E92" s="5" t="s">
        <v>46</v>
      </c>
      <c r="F92" s="42">
        <v>3</v>
      </c>
      <c r="G92" s="42">
        <v>1</v>
      </c>
      <c r="H92" s="42">
        <v>3</v>
      </c>
      <c r="I92" s="42">
        <v>1</v>
      </c>
      <c r="J92" s="42">
        <v>1</v>
      </c>
      <c r="K92" s="42">
        <v>1</v>
      </c>
      <c r="L92" s="42">
        <v>1</v>
      </c>
      <c r="M92" s="42">
        <v>1</v>
      </c>
      <c r="N92" s="42">
        <v>0</v>
      </c>
      <c r="O92" s="42">
        <v>0</v>
      </c>
      <c r="P92" s="42">
        <v>4</v>
      </c>
      <c r="Q92" s="42">
        <v>10</v>
      </c>
      <c r="R92" s="2"/>
      <c r="S92" s="28"/>
      <c r="T92" s="28"/>
    </row>
    <row r="93" spans="4:20" s="1" customFormat="1" x14ac:dyDescent="0.3">
      <c r="D93" s="2"/>
      <c r="E93" s="5" t="s">
        <v>6</v>
      </c>
      <c r="F93" s="23">
        <v>92681.319999999949</v>
      </c>
      <c r="G93" s="23">
        <v>106894.33999999992</v>
      </c>
      <c r="H93" s="23">
        <v>113607.33000000007</v>
      </c>
      <c r="I93" s="23">
        <v>125538.34000000003</v>
      </c>
      <c r="J93" s="23">
        <v>133141.66000000009</v>
      </c>
      <c r="K93" s="23">
        <v>137898.59000000011</v>
      </c>
      <c r="L93" s="23">
        <v>140477.25000000015</v>
      </c>
      <c r="M93" s="23">
        <v>152096.37000000017</v>
      </c>
      <c r="N93" s="23">
        <v>157467.50000000017</v>
      </c>
      <c r="O93" s="23">
        <v>172208.70999999979</v>
      </c>
      <c r="P93" s="23">
        <v>150931.69999999995</v>
      </c>
      <c r="Q93" s="23">
        <v>141092.45999999985</v>
      </c>
      <c r="R93" s="2"/>
      <c r="S93" s="28"/>
      <c r="T93" s="28"/>
    </row>
    <row r="94" spans="4:20" s="1" customFormat="1" x14ac:dyDescent="0.3">
      <c r="D94" s="2"/>
      <c r="E94" s="5" t="s">
        <v>5</v>
      </c>
      <c r="F94" s="23">
        <v>75718.629999999976</v>
      </c>
      <c r="G94" s="23">
        <v>83568.04999999993</v>
      </c>
      <c r="H94" s="23">
        <v>93760.350000000079</v>
      </c>
      <c r="I94" s="23">
        <v>92424.490000000049</v>
      </c>
      <c r="J94" s="23">
        <v>104544.35000000009</v>
      </c>
      <c r="K94" s="23">
        <v>112037.33000000012</v>
      </c>
      <c r="L94" s="23">
        <v>118064.02000000016</v>
      </c>
      <c r="M94" s="23">
        <v>130215.34000000017</v>
      </c>
      <c r="N94" s="23">
        <v>124456.32000000018</v>
      </c>
      <c r="O94" s="23">
        <v>136454.38999999981</v>
      </c>
      <c r="P94" s="23">
        <v>126972.95999999995</v>
      </c>
      <c r="Q94" s="23">
        <v>123080.79999999986</v>
      </c>
      <c r="R94" s="2"/>
      <c r="S94" s="28"/>
      <c r="T94" s="28"/>
    </row>
    <row r="95" spans="4:20" s="1" customFormat="1" x14ac:dyDescent="0.3">
      <c r="D95" s="2"/>
      <c r="E95" s="5" t="s">
        <v>49</v>
      </c>
      <c r="F95" s="10">
        <f>IFERROR((1-F94/F93),0)</f>
        <v>0.18302167038622219</v>
      </c>
      <c r="G95" s="10">
        <f>IFERROR((1-G94/G93),0)</f>
        <v>0.21821819565002232</v>
      </c>
      <c r="H95" s="10">
        <f>IFERROR((1-H94/H93),0)</f>
        <v>0.17469805865519406</v>
      </c>
      <c r="I95" s="10">
        <f>IFERROR((1-I94/I93),0)</f>
        <v>0.26377479581138297</v>
      </c>
      <c r="J95" s="10">
        <f>IFERROR((1-J94/J93),0)</f>
        <v>0.21478859434379871</v>
      </c>
      <c r="K95" s="10">
        <f>IFERROR((1-K94/K93),0)</f>
        <v>0.18753824821559073</v>
      </c>
      <c r="L95" s="10">
        <f>IFERROR((1-L94/L93),0)</f>
        <v>0.15955060338951654</v>
      </c>
      <c r="M95" s="10">
        <f>IFERROR((1-M94/M93),0)</f>
        <v>0.14386293374391501</v>
      </c>
      <c r="N95" s="10">
        <f>IFERROR((1-N94/N93),0)</f>
        <v>0.20963805229650534</v>
      </c>
      <c r="O95" s="10">
        <f>IFERROR((1-O94/O93),0)</f>
        <v>0.20762201865399277</v>
      </c>
      <c r="P95" s="10">
        <f>IFERROR((1-P94/P93),0)</f>
        <v>0.15873895278460393</v>
      </c>
      <c r="Q95" s="10">
        <f>IFERROR((1-Q94/Q93),0)</f>
        <v>0.12765855808311799</v>
      </c>
      <c r="R95" s="2"/>
      <c r="S95" s="28"/>
      <c r="T95" s="28"/>
    </row>
    <row r="96" spans="4:20" s="1" customFormat="1" x14ac:dyDescent="0.3">
      <c r="D96" s="2"/>
      <c r="E96" s="5" t="s">
        <v>3</v>
      </c>
      <c r="F96" s="8">
        <v>73</v>
      </c>
      <c r="G96" s="8">
        <v>98</v>
      </c>
      <c r="H96" s="8">
        <v>77</v>
      </c>
      <c r="I96" s="8">
        <v>114</v>
      </c>
      <c r="J96" s="8">
        <v>107</v>
      </c>
      <c r="K96" s="8">
        <v>84</v>
      </c>
      <c r="L96" s="8">
        <v>74</v>
      </c>
      <c r="M96" s="8">
        <v>85</v>
      </c>
      <c r="N96" s="8">
        <v>77</v>
      </c>
      <c r="O96" s="8">
        <v>37</v>
      </c>
      <c r="P96" s="8">
        <v>7</v>
      </c>
      <c r="Q96" s="8">
        <v>0</v>
      </c>
      <c r="R96" s="2"/>
      <c r="S96" s="28"/>
      <c r="T96" s="28"/>
    </row>
    <row r="97" spans="1:20" s="1" customFormat="1" x14ac:dyDescent="0.3">
      <c r="D97" s="2"/>
      <c r="E97" s="5" t="s">
        <v>2</v>
      </c>
      <c r="F97" s="24">
        <f>IFERROR(F93/F82,0)</f>
        <v>211.11917995444179</v>
      </c>
      <c r="G97" s="24">
        <f>IFERROR(G93/G82,0)</f>
        <v>209.1865753424656</v>
      </c>
      <c r="H97" s="24">
        <f>IFERROR(H93/H82,0)</f>
        <v>210.38394444444458</v>
      </c>
      <c r="I97" s="24">
        <f>IFERROR(I93/I82,0)</f>
        <v>209.93033444816058</v>
      </c>
      <c r="J97" s="24">
        <f>IFERROR(J93/J82,0)</f>
        <v>208.03384375000013</v>
      </c>
      <c r="K97" s="24">
        <f>IFERROR(K93/K82,0)</f>
        <v>208.30602719033249</v>
      </c>
      <c r="L97" s="24">
        <f>IFERROR(L93/L82,0)</f>
        <v>207.19358407079667</v>
      </c>
      <c r="M97" s="24">
        <f>IFERROR(M93/M82,0)</f>
        <v>213.91894514767955</v>
      </c>
      <c r="N97" s="24">
        <f>IFERROR(N93/N82,0)</f>
        <v>217.79737206085778</v>
      </c>
      <c r="O97" s="24">
        <f>IFERROR(O93/O82,0)</f>
        <v>253.62107511045625</v>
      </c>
      <c r="P97" s="24">
        <f>IFERROR(P93/P82,0)</f>
        <v>250.71710963455141</v>
      </c>
      <c r="Q97" s="24">
        <f>IFERROR(Q93/Q82,0)</f>
        <v>251.95082142857115</v>
      </c>
      <c r="R97" s="2"/>
      <c r="S97" s="28"/>
      <c r="T97" s="28"/>
    </row>
    <row r="98" spans="1:20" s="1" customFormat="1" x14ac:dyDescent="0.3">
      <c r="D98" s="2"/>
      <c r="E98" s="5" t="s">
        <v>1</v>
      </c>
      <c r="F98" s="56">
        <v>5914.2225999999991</v>
      </c>
      <c r="G98" s="56">
        <v>8686.75</v>
      </c>
      <c r="H98" s="56">
        <v>7262.54</v>
      </c>
      <c r="I98" s="56">
        <v>7138.72</v>
      </c>
      <c r="J98" s="56">
        <v>10074.43</v>
      </c>
      <c r="K98" s="56">
        <v>8488.32</v>
      </c>
      <c r="L98" s="56">
        <v>0</v>
      </c>
      <c r="M98" s="56">
        <v>0</v>
      </c>
      <c r="N98" s="56">
        <v>0</v>
      </c>
      <c r="O98" s="56">
        <v>0</v>
      </c>
      <c r="P98" s="56">
        <v>0</v>
      </c>
      <c r="Q98" s="56">
        <v>0</v>
      </c>
      <c r="R98" s="2"/>
      <c r="S98" s="28"/>
      <c r="T98" s="28"/>
    </row>
    <row r="99" spans="1:20" s="1" customFormat="1" x14ac:dyDescent="0.3">
      <c r="D99" s="2"/>
      <c r="E99" s="5" t="s">
        <v>0</v>
      </c>
      <c r="F99" s="56">
        <v>3960</v>
      </c>
      <c r="G99" s="56">
        <v>0</v>
      </c>
      <c r="H99" s="56">
        <v>0</v>
      </c>
      <c r="I99" s="56">
        <v>0</v>
      </c>
      <c r="J99" s="56">
        <v>0</v>
      </c>
      <c r="K99" s="56">
        <v>0</v>
      </c>
      <c r="L99" s="56">
        <v>0</v>
      </c>
      <c r="M99" s="56">
        <v>0</v>
      </c>
      <c r="N99" s="56">
        <v>0</v>
      </c>
      <c r="O99" s="56">
        <v>0</v>
      </c>
      <c r="P99" s="56">
        <v>0</v>
      </c>
      <c r="Q99" s="56">
        <v>0</v>
      </c>
      <c r="R99" s="2"/>
      <c r="S99" s="28"/>
      <c r="T99" s="28"/>
    </row>
    <row r="100" spans="1:20" s="1" customFormat="1" ht="2.4" customHeight="1" x14ac:dyDescent="0.3">
      <c r="A100" s="2"/>
      <c r="B100" s="2"/>
      <c r="C100" s="2"/>
      <c r="D100" s="2"/>
      <c r="E100" s="2"/>
      <c r="F100" s="55"/>
      <c r="G100" s="55"/>
      <c r="H100" s="55"/>
      <c r="I100" s="61"/>
      <c r="J100" s="55"/>
      <c r="K100" s="60"/>
      <c r="L100" s="29"/>
      <c r="M100" s="29"/>
      <c r="N100" s="29"/>
      <c r="O100" s="29"/>
      <c r="P100" s="29"/>
      <c r="Q100" s="29"/>
      <c r="R100" s="2"/>
      <c r="S100" s="28"/>
      <c r="T100" s="28"/>
    </row>
    <row r="101" spans="1:20" s="1" customFormat="1" hidden="1" x14ac:dyDescent="0.3">
      <c r="A101" s="2"/>
      <c r="B101" s="2"/>
      <c r="C101" s="2"/>
      <c r="D101" s="2"/>
      <c r="E101" s="2"/>
      <c r="F101" s="55">
        <v>174</v>
      </c>
      <c r="G101" s="55" t="e">
        <f>F105-G108+#REF!</f>
        <v>#REF!</v>
      </c>
      <c r="H101" s="55" t="e">
        <f>G105-H108+#REF!</f>
        <v>#REF!</v>
      </c>
      <c r="I101" s="55" t="e">
        <f>H105-I108+#REF!</f>
        <v>#REF!</v>
      </c>
      <c r="J101" s="55" t="e">
        <f>I105-J108+#REF!</f>
        <v>#REF!</v>
      </c>
      <c r="K101" s="55" t="e">
        <f>J105-K108+#REF!</f>
        <v>#REF!</v>
      </c>
      <c r="L101" s="55">
        <f>K105-L108+L119</f>
        <v>1044</v>
      </c>
      <c r="M101" s="55">
        <f>L105-M108+M119</f>
        <v>1036</v>
      </c>
      <c r="N101" s="55">
        <f>M105-N108+N119</f>
        <v>1009</v>
      </c>
      <c r="O101" s="55">
        <f>N105-O108+O119</f>
        <v>974</v>
      </c>
      <c r="P101" s="55">
        <f>O105-P108+P119</f>
        <v>948</v>
      </c>
      <c r="Q101" s="29"/>
      <c r="R101" s="2"/>
      <c r="S101" s="28"/>
      <c r="T101" s="28"/>
    </row>
    <row r="102" spans="1:20" s="1" customFormat="1" hidden="1" x14ac:dyDescent="0.3">
      <c r="A102" s="2"/>
      <c r="B102" s="2"/>
      <c r="C102" s="2"/>
      <c r="D102" s="2"/>
      <c r="E102" s="2"/>
      <c r="F102" s="55">
        <f>F105-F101</f>
        <v>612</v>
      </c>
      <c r="G102" s="55" t="e">
        <f>G105-G101</f>
        <v>#REF!</v>
      </c>
      <c r="H102" s="55" t="e">
        <f>H105-H101</f>
        <v>#REF!</v>
      </c>
      <c r="I102" s="55" t="e">
        <f>I105-I101</f>
        <v>#REF!</v>
      </c>
      <c r="J102" s="55" t="e">
        <f>J105-J101</f>
        <v>#REF!</v>
      </c>
      <c r="K102" s="55" t="e">
        <f>K105-K101</f>
        <v>#REF!</v>
      </c>
      <c r="L102" s="55">
        <f>L105-L101</f>
        <v>3</v>
      </c>
      <c r="M102" s="55">
        <f>M105-M101</f>
        <v>-5</v>
      </c>
      <c r="N102" s="55">
        <f>N105-N101</f>
        <v>3</v>
      </c>
      <c r="O102" s="55">
        <f>O105-O101</f>
        <v>5</v>
      </c>
      <c r="P102" s="55">
        <f>P105-P101</f>
        <v>-2</v>
      </c>
      <c r="Q102" s="29"/>
      <c r="R102" s="2"/>
      <c r="S102" s="28"/>
      <c r="T102" s="28"/>
    </row>
    <row r="103" spans="1:20" s="1" customFormat="1" x14ac:dyDescent="0.3">
      <c r="D103" s="2"/>
      <c r="E103" s="65" t="s">
        <v>33</v>
      </c>
      <c r="F103" s="54" t="s">
        <v>32</v>
      </c>
      <c r="G103" s="54" t="s">
        <v>31</v>
      </c>
      <c r="H103" s="54" t="s">
        <v>30</v>
      </c>
      <c r="I103" s="54" t="s">
        <v>29</v>
      </c>
      <c r="J103" s="54" t="s">
        <v>28</v>
      </c>
      <c r="K103" s="54" t="s">
        <v>27</v>
      </c>
      <c r="L103" s="54" t="s">
        <v>26</v>
      </c>
      <c r="M103" s="54" t="s">
        <v>25</v>
      </c>
      <c r="N103" s="54" t="s">
        <v>24</v>
      </c>
      <c r="O103" s="54" t="s">
        <v>23</v>
      </c>
      <c r="P103" s="54" t="s">
        <v>22</v>
      </c>
      <c r="Q103" s="54" t="s">
        <v>21</v>
      </c>
      <c r="R103" s="2"/>
      <c r="S103" s="28"/>
      <c r="T103" s="28"/>
    </row>
    <row r="104" spans="1:20" s="1" customFormat="1" x14ac:dyDescent="0.3">
      <c r="D104" s="2"/>
      <c r="E104" s="5" t="s">
        <v>20</v>
      </c>
      <c r="F104" s="8">
        <v>750.4094827586207</v>
      </c>
      <c r="G104" s="8">
        <v>855.40948275862081</v>
      </c>
      <c r="H104" s="8">
        <v>1027.4094827586209</v>
      </c>
      <c r="I104" s="8">
        <v>1196.4094827586209</v>
      </c>
      <c r="J104" s="8">
        <v>1293.4094827586205</v>
      </c>
      <c r="K104" s="8">
        <v>1607.3730706075535</v>
      </c>
      <c r="L104" s="8">
        <v>1873.7523809523809</v>
      </c>
      <c r="M104" s="8">
        <v>2151.847619047619</v>
      </c>
      <c r="N104" s="8">
        <v>2425.8963995354238</v>
      </c>
      <c r="O104" s="8">
        <v>2664.6305869277903</v>
      </c>
      <c r="P104" s="8">
        <v>2890.3448726420766</v>
      </c>
      <c r="Q104" s="8">
        <v>3087.0305869277904</v>
      </c>
      <c r="R104" s="2"/>
      <c r="S104" s="28"/>
      <c r="T104" s="28"/>
    </row>
    <row r="105" spans="1:20" s="1" customFormat="1" x14ac:dyDescent="0.3">
      <c r="D105" s="2"/>
      <c r="E105" s="5" t="s">
        <v>19</v>
      </c>
      <c r="F105" s="8">
        <f>SUM(F106:F107)</f>
        <v>786</v>
      </c>
      <c r="G105" s="8">
        <f>SUM(G106:G107)</f>
        <v>890</v>
      </c>
      <c r="H105" s="8">
        <f>SUM(H106:H107)</f>
        <v>970</v>
      </c>
      <c r="I105" s="8">
        <f>SUM(I106:I107)</f>
        <v>1061</v>
      </c>
      <c r="J105" s="8">
        <f>SUM(J106:J107)</f>
        <v>1124</v>
      </c>
      <c r="K105" s="8">
        <f>SUM(K106:K107)</f>
        <v>1152</v>
      </c>
      <c r="L105" s="8">
        <f>SUM(L106:L107)</f>
        <v>1047</v>
      </c>
      <c r="M105" s="8">
        <f>SUM(M106:M107)</f>
        <v>1031</v>
      </c>
      <c r="N105" s="8">
        <f>SUM(N106:N107)</f>
        <v>1012</v>
      </c>
      <c r="O105" s="8">
        <f>SUM(O106:O107)</f>
        <v>979</v>
      </c>
      <c r="P105" s="8">
        <f>SUM(P106:P107)</f>
        <v>946</v>
      </c>
      <c r="Q105" s="8">
        <f>SUM(Q106:Q107)</f>
        <v>919</v>
      </c>
      <c r="R105" s="2"/>
      <c r="S105" s="28"/>
      <c r="T105" s="28"/>
    </row>
    <row r="106" spans="1:20" s="1" customFormat="1" x14ac:dyDescent="0.3">
      <c r="D106" s="2"/>
      <c r="E106" s="14" t="s">
        <v>41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2"/>
      <c r="S106" s="28"/>
      <c r="T106" s="28"/>
    </row>
    <row r="107" spans="1:20" s="1" customFormat="1" x14ac:dyDescent="0.3">
      <c r="D107" s="2"/>
      <c r="E107" s="14" t="s">
        <v>40</v>
      </c>
      <c r="F107" s="8">
        <v>786</v>
      </c>
      <c r="G107" s="8">
        <v>890</v>
      </c>
      <c r="H107" s="8">
        <v>970</v>
      </c>
      <c r="I107" s="8">
        <v>1061</v>
      </c>
      <c r="J107" s="8">
        <v>1124</v>
      </c>
      <c r="K107" s="8">
        <v>1152</v>
      </c>
      <c r="L107" s="8">
        <v>1047</v>
      </c>
      <c r="M107" s="8">
        <v>1031</v>
      </c>
      <c r="N107" s="8">
        <v>1012</v>
      </c>
      <c r="O107" s="8">
        <v>979</v>
      </c>
      <c r="P107" s="8">
        <v>946</v>
      </c>
      <c r="Q107" s="8">
        <v>919</v>
      </c>
      <c r="R107" s="2"/>
      <c r="S107" s="28"/>
      <c r="T107" s="28"/>
    </row>
    <row r="108" spans="1:20" s="1" customFormat="1" ht="13.95" customHeight="1" x14ac:dyDescent="0.3">
      <c r="D108" s="2"/>
      <c r="E108" s="5" t="s">
        <v>39</v>
      </c>
      <c r="F108" s="8">
        <v>41</v>
      </c>
      <c r="G108" s="8">
        <f>SUM(G111:G115)</f>
        <v>48</v>
      </c>
      <c r="H108" s="8">
        <f>SUM(H111:H115)</f>
        <v>49</v>
      </c>
      <c r="I108" s="8">
        <f>SUM(I111:I115)</f>
        <v>62</v>
      </c>
      <c r="J108" s="8">
        <f>SUM(J111:J115)</f>
        <v>102</v>
      </c>
      <c r="K108" s="8">
        <f>SUM(K111:K115)</f>
        <v>101</v>
      </c>
      <c r="L108" s="8">
        <f>SUM(L111:L115)</f>
        <v>146</v>
      </c>
      <c r="M108" s="8">
        <f>SUM(M111:M115)</f>
        <v>88</v>
      </c>
      <c r="N108" s="8">
        <f>SUM(N111:N115)</f>
        <v>81</v>
      </c>
      <c r="O108" s="8">
        <f>SUM(O111:O115)</f>
        <v>86</v>
      </c>
      <c r="P108" s="8">
        <f>SUM(P111:P115)</f>
        <v>79</v>
      </c>
      <c r="Q108" s="8">
        <f>SUM(Q111:Q115)</f>
        <v>73</v>
      </c>
      <c r="R108" s="2"/>
      <c r="S108" s="28"/>
      <c r="T108" s="28"/>
    </row>
    <row r="109" spans="1:20" s="1" customFormat="1" x14ac:dyDescent="0.3">
      <c r="D109" s="2"/>
      <c r="E109" s="5" t="s">
        <v>15</v>
      </c>
      <c r="F109" s="8">
        <v>4</v>
      </c>
      <c r="G109" s="8">
        <v>1</v>
      </c>
      <c r="H109" s="8">
        <v>3</v>
      </c>
      <c r="I109" s="8">
        <v>1</v>
      </c>
      <c r="J109" s="8">
        <v>5</v>
      </c>
      <c r="K109" s="8">
        <v>3</v>
      </c>
      <c r="L109" s="8">
        <v>2</v>
      </c>
      <c r="M109" s="8">
        <v>1</v>
      </c>
      <c r="N109" s="8">
        <v>2</v>
      </c>
      <c r="O109" s="8">
        <v>8</v>
      </c>
      <c r="P109" s="8">
        <v>2</v>
      </c>
      <c r="Q109" s="8">
        <v>3</v>
      </c>
      <c r="R109" s="2"/>
      <c r="S109" s="28"/>
      <c r="T109" s="28"/>
    </row>
    <row r="110" spans="1:20" s="1" customFormat="1" x14ac:dyDescent="0.3">
      <c r="D110" s="2"/>
      <c r="E110" s="5" t="s">
        <v>14</v>
      </c>
      <c r="F110" s="10">
        <v>5.9506531204644414E-2</v>
      </c>
      <c r="G110" s="10">
        <f>IFERROR(G108/F105,0)</f>
        <v>6.1068702290076333E-2</v>
      </c>
      <c r="H110" s="10">
        <f>IFERROR(H108/G105,0)</f>
        <v>5.5056179775280899E-2</v>
      </c>
      <c r="I110" s="10">
        <f>IFERROR(I108/H105,0)</f>
        <v>6.3917525773195871E-2</v>
      </c>
      <c r="J110" s="10">
        <f>IFERROR(J108/I105,0)</f>
        <v>9.6135721017907641E-2</v>
      </c>
      <c r="K110" s="10">
        <f>IFERROR(K108/J105,0)</f>
        <v>8.9857651245551604E-2</v>
      </c>
      <c r="L110" s="10">
        <f>IFERROR(L108/K105,0)</f>
        <v>0.1267361111111111</v>
      </c>
      <c r="M110" s="10">
        <f>IFERROR(M108/L105,0)</f>
        <v>8.4049665711556823E-2</v>
      </c>
      <c r="N110" s="10">
        <f>IFERROR(N108/M105,0)</f>
        <v>7.8564500484966049E-2</v>
      </c>
      <c r="O110" s="10">
        <f>IFERROR(O108/N105,0)</f>
        <v>8.4980237154150193E-2</v>
      </c>
      <c r="P110" s="10">
        <f>IFERROR(P108/O105,0)</f>
        <v>8.0694586312563835E-2</v>
      </c>
      <c r="Q110" s="10">
        <f>IFERROR(Q108/P105,0)</f>
        <v>7.7167019027484143E-2</v>
      </c>
      <c r="R110" s="2"/>
      <c r="S110" s="28"/>
      <c r="T110" s="28"/>
    </row>
    <row r="111" spans="1:20" s="1" customFormat="1" x14ac:dyDescent="0.3">
      <c r="D111" s="2"/>
      <c r="E111" s="5" t="s">
        <v>13</v>
      </c>
      <c r="F111" s="8">
        <v>22</v>
      </c>
      <c r="G111" s="8">
        <v>29</v>
      </c>
      <c r="H111" s="8">
        <v>24</v>
      </c>
      <c r="I111" s="8">
        <v>33</v>
      </c>
      <c r="J111" s="8">
        <v>44</v>
      </c>
      <c r="K111" s="8">
        <v>56</v>
      </c>
      <c r="L111" s="8">
        <v>106</v>
      </c>
      <c r="M111" s="8">
        <v>53</v>
      </c>
      <c r="N111" s="8">
        <v>60</v>
      </c>
      <c r="O111" s="8">
        <v>51</v>
      </c>
      <c r="P111" s="8">
        <v>45</v>
      </c>
      <c r="Q111" s="8">
        <v>50</v>
      </c>
      <c r="R111" s="2"/>
      <c r="S111" s="28"/>
      <c r="T111" s="28"/>
    </row>
    <row r="112" spans="1:20" s="1" customFormat="1" x14ac:dyDescent="0.3">
      <c r="D112" s="2"/>
      <c r="E112" s="5" t="s">
        <v>12</v>
      </c>
      <c r="F112" s="8">
        <v>18</v>
      </c>
      <c r="G112" s="8">
        <v>16</v>
      </c>
      <c r="H112" s="8">
        <v>22</v>
      </c>
      <c r="I112" s="8">
        <v>25</v>
      </c>
      <c r="J112" s="8">
        <v>53</v>
      </c>
      <c r="K112" s="8">
        <v>41</v>
      </c>
      <c r="L112" s="8">
        <v>40</v>
      </c>
      <c r="M112" s="8">
        <v>15</v>
      </c>
      <c r="N112" s="8">
        <v>21</v>
      </c>
      <c r="O112" s="8">
        <v>26</v>
      </c>
      <c r="P112" s="8">
        <v>26</v>
      </c>
      <c r="Q112" s="8">
        <v>0</v>
      </c>
      <c r="R112" s="2"/>
      <c r="S112" s="28"/>
      <c r="T112" s="28"/>
    </row>
    <row r="113" spans="1:20" s="1" customFormat="1" x14ac:dyDescent="0.3">
      <c r="D113" s="2"/>
      <c r="E113" s="5" t="s">
        <v>11</v>
      </c>
      <c r="F113" s="8">
        <v>0</v>
      </c>
      <c r="G113" s="8">
        <v>0</v>
      </c>
      <c r="H113" s="8">
        <v>3</v>
      </c>
      <c r="I113" s="8">
        <v>4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2"/>
      <c r="S113" s="28"/>
      <c r="T113" s="28"/>
    </row>
    <row r="114" spans="1:20" s="1" customFormat="1" x14ac:dyDescent="0.3">
      <c r="D114" s="2"/>
      <c r="E114" s="5" t="s">
        <v>50</v>
      </c>
      <c r="F114" s="42">
        <v>0</v>
      </c>
      <c r="G114" s="42">
        <v>0</v>
      </c>
      <c r="H114" s="42">
        <v>0</v>
      </c>
      <c r="I114" s="42">
        <v>0</v>
      </c>
      <c r="J114" s="42">
        <v>0</v>
      </c>
      <c r="K114" s="42">
        <v>0</v>
      </c>
      <c r="L114" s="42">
        <v>0</v>
      </c>
      <c r="M114" s="42">
        <v>0</v>
      </c>
      <c r="N114" s="42">
        <v>0</v>
      </c>
      <c r="O114" s="42">
        <v>0</v>
      </c>
      <c r="P114" s="42">
        <v>0</v>
      </c>
      <c r="Q114" s="42">
        <v>1</v>
      </c>
      <c r="R114" s="2"/>
      <c r="S114" s="28"/>
      <c r="T114" s="28"/>
    </row>
    <row r="115" spans="1:20" s="1" customFormat="1" x14ac:dyDescent="0.3">
      <c r="D115" s="2"/>
      <c r="E115" s="5" t="s">
        <v>46</v>
      </c>
      <c r="F115" s="42">
        <v>1</v>
      </c>
      <c r="G115" s="42">
        <v>3</v>
      </c>
      <c r="H115" s="42">
        <v>0</v>
      </c>
      <c r="I115" s="42">
        <v>0</v>
      </c>
      <c r="J115" s="42">
        <v>5</v>
      </c>
      <c r="K115" s="42">
        <v>4</v>
      </c>
      <c r="L115" s="42">
        <v>0</v>
      </c>
      <c r="M115" s="42">
        <v>20</v>
      </c>
      <c r="N115" s="42">
        <v>0</v>
      </c>
      <c r="O115" s="42">
        <v>9</v>
      </c>
      <c r="P115" s="42">
        <v>8</v>
      </c>
      <c r="Q115" s="42">
        <v>22</v>
      </c>
      <c r="R115" s="2"/>
      <c r="S115" s="28"/>
      <c r="T115" s="28"/>
    </row>
    <row r="116" spans="1:20" s="1" customFormat="1" x14ac:dyDescent="0.3">
      <c r="D116" s="2"/>
      <c r="E116" s="5" t="s">
        <v>6</v>
      </c>
      <c r="F116" s="23">
        <v>271066.75</v>
      </c>
      <c r="G116" s="23">
        <v>312224.65000000026</v>
      </c>
      <c r="H116" s="23">
        <v>346963.24000000011</v>
      </c>
      <c r="I116" s="23">
        <v>382486.57000000018</v>
      </c>
      <c r="J116" s="23">
        <v>460464.98000000016</v>
      </c>
      <c r="K116" s="23">
        <v>459929.22999999986</v>
      </c>
      <c r="L116" s="23">
        <v>434534.12000000064</v>
      </c>
      <c r="M116" s="23">
        <v>438185.51999999973</v>
      </c>
      <c r="N116" s="23">
        <v>437729.61</v>
      </c>
      <c r="O116" s="23">
        <v>439415.33000000031</v>
      </c>
      <c r="P116" s="23">
        <v>433953.27999999968</v>
      </c>
      <c r="Q116" s="23">
        <v>417436.33000000019</v>
      </c>
      <c r="R116" s="2"/>
      <c r="S116" s="28"/>
      <c r="T116" s="28"/>
    </row>
    <row r="117" spans="1:20" s="1" customFormat="1" x14ac:dyDescent="0.3">
      <c r="D117" s="2"/>
      <c r="E117" s="5" t="s">
        <v>5</v>
      </c>
      <c r="F117" s="23">
        <v>233999.44999999998</v>
      </c>
      <c r="G117" s="23">
        <v>258067.79000000024</v>
      </c>
      <c r="H117" s="23">
        <v>295139.45000000013</v>
      </c>
      <c r="I117" s="23">
        <v>287187.15000000008</v>
      </c>
      <c r="J117" s="23">
        <v>373817.99000000017</v>
      </c>
      <c r="K117" s="23">
        <v>383105.14999999997</v>
      </c>
      <c r="L117" s="23">
        <v>370041.64000000065</v>
      </c>
      <c r="M117" s="23">
        <v>382327.97999999975</v>
      </c>
      <c r="N117" s="23">
        <v>377232.63</v>
      </c>
      <c r="O117" s="23">
        <v>372958.36000000034</v>
      </c>
      <c r="P117" s="23">
        <v>370107.39999999973</v>
      </c>
      <c r="Q117" s="23">
        <v>350625.60000000021</v>
      </c>
      <c r="R117" s="2"/>
      <c r="S117" s="28"/>
      <c r="T117" s="28"/>
    </row>
    <row r="118" spans="1:20" s="1" customFormat="1" x14ac:dyDescent="0.3">
      <c r="D118" s="2"/>
      <c r="E118" s="5" t="s">
        <v>49</v>
      </c>
      <c r="F118" s="10">
        <f>IFERROR((1-F117/F116),0)</f>
        <v>0.13674602288919613</v>
      </c>
      <c r="G118" s="10">
        <f>IFERROR((1-G117/G116),0)</f>
        <v>0.17345478648146451</v>
      </c>
      <c r="H118" s="10">
        <f>IFERROR((1-H117/H116),0)</f>
        <v>0.14936392108858554</v>
      </c>
      <c r="I118" s="10">
        <f>IFERROR((1-I117/I116),0)</f>
        <v>0.24915755865624267</v>
      </c>
      <c r="J118" s="10">
        <f>IFERROR((1-J117/J116),0)</f>
        <v>0.18817281175215528</v>
      </c>
      <c r="K118" s="10">
        <f>IFERROR((1-K117/K116),0)</f>
        <v>0.16703456747030387</v>
      </c>
      <c r="L118" s="10">
        <f>IFERROR((1-L117/L116),0)</f>
        <v>0.14841752817937492</v>
      </c>
      <c r="M118" s="10">
        <f>IFERROR((1-M117/M116),0)</f>
        <v>0.12747463677028859</v>
      </c>
      <c r="N118" s="10">
        <f>IFERROR((1-N117/N116),0)</f>
        <v>0.13820627761507842</v>
      </c>
      <c r="O118" s="10">
        <f>IFERROR((1-O117/O116),0)</f>
        <v>0.15123953458792605</v>
      </c>
      <c r="P118" s="10">
        <f>IFERROR((1-P117/P116),0)</f>
        <v>0.14712616067794204</v>
      </c>
      <c r="Q118" s="10">
        <f>IFERROR((1-Q117/Q116),0)</f>
        <v>0.16005010871957392</v>
      </c>
      <c r="R118" s="2"/>
      <c r="S118" s="28"/>
      <c r="T118" s="28"/>
    </row>
    <row r="119" spans="1:20" s="1" customFormat="1" x14ac:dyDescent="0.3">
      <c r="D119" s="2"/>
      <c r="E119" s="5" t="s">
        <v>3</v>
      </c>
      <c r="F119" s="8">
        <v>133</v>
      </c>
      <c r="G119" s="8">
        <v>157</v>
      </c>
      <c r="H119" s="8">
        <v>124</v>
      </c>
      <c r="I119" s="8">
        <v>147</v>
      </c>
      <c r="J119" s="8">
        <v>167</v>
      </c>
      <c r="K119" s="8">
        <v>130</v>
      </c>
      <c r="L119" s="8">
        <v>38</v>
      </c>
      <c r="M119" s="8">
        <v>77</v>
      </c>
      <c r="N119" s="8">
        <v>59</v>
      </c>
      <c r="O119" s="8">
        <v>48</v>
      </c>
      <c r="P119" s="8">
        <v>48</v>
      </c>
      <c r="Q119" s="8">
        <v>48</v>
      </c>
      <c r="R119" s="2"/>
      <c r="S119" s="28"/>
      <c r="T119" s="28"/>
    </row>
    <row r="120" spans="1:20" s="1" customFormat="1" x14ac:dyDescent="0.3">
      <c r="D120" s="2"/>
      <c r="E120" s="5" t="s">
        <v>2</v>
      </c>
      <c r="F120" s="24">
        <f>IFERROR(F116/F105,0)</f>
        <v>344.8686386768448</v>
      </c>
      <c r="G120" s="24">
        <f>IFERROR(G116/G105,0)</f>
        <v>350.81421348314637</v>
      </c>
      <c r="H120" s="24">
        <f>IFERROR(H116/H105,0)</f>
        <v>357.69406185567021</v>
      </c>
      <c r="I120" s="24">
        <f>IFERROR(I116/I105,0)</f>
        <v>360.49629594721978</v>
      </c>
      <c r="J120" s="24">
        <f>IFERROR(J116/J105,0)</f>
        <v>409.66635231316741</v>
      </c>
      <c r="K120" s="24">
        <f>IFERROR(K116/K105,0)</f>
        <v>399.24412326388875</v>
      </c>
      <c r="L120" s="24">
        <f>IFERROR(L116/L105,0)</f>
        <v>415.02781279847244</v>
      </c>
      <c r="M120" s="24">
        <f>IFERROR(M116/M105,0)</f>
        <v>425.01020368574171</v>
      </c>
      <c r="N120" s="24">
        <f>IFERROR(N116/N105,0)</f>
        <v>432.53914031620553</v>
      </c>
      <c r="O120" s="24">
        <f>IFERROR(O116/O105,0)</f>
        <v>448.84099080694619</v>
      </c>
      <c r="P120" s="24">
        <f>IFERROR(P116/P105,0)</f>
        <v>458.72439746300176</v>
      </c>
      <c r="Q120" s="24">
        <f>IFERROR(Q116/Q105,0)</f>
        <v>454.22886833514713</v>
      </c>
      <c r="R120" s="2"/>
      <c r="S120" s="28"/>
      <c r="T120" s="28"/>
    </row>
    <row r="121" spans="1:20" s="1" customFormat="1" x14ac:dyDescent="0.3">
      <c r="D121" s="2"/>
      <c r="E121" s="5" t="s">
        <v>1</v>
      </c>
      <c r="F121" s="56">
        <v>22167.458749999991</v>
      </c>
      <c r="G121" s="56">
        <v>28116.57</v>
      </c>
      <c r="H121" s="56">
        <v>27510.63</v>
      </c>
      <c r="I121" s="56">
        <v>22032.16</v>
      </c>
      <c r="J121" s="56">
        <v>36935.03</v>
      </c>
      <c r="K121" s="56">
        <v>25379.63</v>
      </c>
      <c r="L121" s="56">
        <v>0</v>
      </c>
      <c r="M121" s="56">
        <v>0</v>
      </c>
      <c r="N121" s="56">
        <v>0</v>
      </c>
      <c r="O121" s="56">
        <v>0</v>
      </c>
      <c r="P121" s="56">
        <v>0</v>
      </c>
      <c r="Q121" s="56">
        <v>0</v>
      </c>
      <c r="R121" s="2"/>
      <c r="S121" s="28"/>
      <c r="T121" s="28"/>
    </row>
    <row r="122" spans="1:20" s="1" customFormat="1" x14ac:dyDescent="0.3">
      <c r="D122" s="2"/>
      <c r="E122" s="5" t="s">
        <v>0</v>
      </c>
      <c r="F122" s="56">
        <v>45100</v>
      </c>
      <c r="G122" s="56">
        <v>0</v>
      </c>
      <c r="H122" s="56">
        <v>0</v>
      </c>
      <c r="I122" s="56">
        <v>0</v>
      </c>
      <c r="J122" s="56">
        <v>0</v>
      </c>
      <c r="K122" s="56">
        <v>0</v>
      </c>
      <c r="L122" s="56">
        <v>0</v>
      </c>
      <c r="M122" s="56">
        <v>0</v>
      </c>
      <c r="N122" s="56">
        <v>0</v>
      </c>
      <c r="O122" s="56">
        <v>0</v>
      </c>
      <c r="P122" s="56">
        <v>0</v>
      </c>
      <c r="Q122" s="56">
        <v>0</v>
      </c>
      <c r="R122" s="2"/>
      <c r="S122" s="28"/>
      <c r="T122" s="28"/>
    </row>
    <row r="123" spans="1:20" s="1" customFormat="1" ht="3.6" customHeight="1" x14ac:dyDescent="0.3">
      <c r="A123" s="2"/>
      <c r="B123" s="2"/>
      <c r="C123" s="2"/>
      <c r="D123" s="2"/>
      <c r="E123" s="2"/>
      <c r="F123" s="55"/>
      <c r="G123" s="55"/>
      <c r="H123" s="55"/>
      <c r="I123" s="55"/>
      <c r="J123" s="55"/>
      <c r="K123" s="55"/>
      <c r="L123" s="55"/>
      <c r="M123" s="55"/>
      <c r="N123" s="29"/>
      <c r="O123" s="29"/>
      <c r="P123" s="29"/>
      <c r="Q123" s="29"/>
      <c r="R123" s="2"/>
      <c r="S123" s="28"/>
      <c r="T123" s="28"/>
    </row>
    <row r="124" spans="1:20" s="1" customFormat="1" hidden="1" x14ac:dyDescent="0.3">
      <c r="A124" s="2"/>
      <c r="B124" s="2"/>
      <c r="C124" s="2"/>
      <c r="D124" s="2"/>
      <c r="E124" s="2"/>
      <c r="F124" s="55"/>
      <c r="G124" s="55"/>
      <c r="H124" s="55"/>
      <c r="I124" s="55">
        <f>H128-I131+I142</f>
        <v>1036</v>
      </c>
      <c r="J124" s="55">
        <f>I128-J131+J142</f>
        <v>1053</v>
      </c>
      <c r="K124" s="55">
        <f>J128-K131+K142</f>
        <v>1045</v>
      </c>
      <c r="L124" s="55">
        <f>K128-L131+L142</f>
        <v>963</v>
      </c>
      <c r="M124" s="55">
        <f>L128-M131+M142</f>
        <v>934</v>
      </c>
      <c r="N124" s="55">
        <f>M128-N131+N142</f>
        <v>917</v>
      </c>
      <c r="O124" s="55">
        <f>N128-O131+O142</f>
        <v>934</v>
      </c>
      <c r="P124" s="55">
        <f>O128-P131+P142</f>
        <v>903</v>
      </c>
      <c r="Q124" s="29"/>
      <c r="R124" s="2"/>
      <c r="S124" s="28"/>
      <c r="T124" s="28"/>
    </row>
    <row r="125" spans="1:20" s="1" customFormat="1" hidden="1" x14ac:dyDescent="0.3">
      <c r="A125" s="2"/>
      <c r="B125" s="2"/>
      <c r="C125" s="2"/>
      <c r="D125" s="2"/>
      <c r="E125" s="2"/>
      <c r="F125" s="55"/>
      <c r="G125" s="55"/>
      <c r="H125" s="55"/>
      <c r="I125" s="55">
        <f>I128-I124</f>
        <v>-1</v>
      </c>
      <c r="J125" s="55">
        <f>J128-J124</f>
        <v>-2</v>
      </c>
      <c r="K125" s="55">
        <f>K128-K124</f>
        <v>2</v>
      </c>
      <c r="L125" s="55">
        <f>L128-L124</f>
        <v>2</v>
      </c>
      <c r="M125" s="55">
        <f>M128-M124</f>
        <v>-3</v>
      </c>
      <c r="N125" s="55">
        <f>N128-N124</f>
        <v>2</v>
      </c>
      <c r="O125" s="55">
        <f>O128-O124</f>
        <v>6</v>
      </c>
      <c r="P125" s="55">
        <f>P128-P124</f>
        <v>1</v>
      </c>
      <c r="Q125" s="29"/>
      <c r="R125" s="2"/>
      <c r="S125" s="28"/>
      <c r="T125" s="28"/>
    </row>
    <row r="126" spans="1:20" s="1" customFormat="1" x14ac:dyDescent="0.3">
      <c r="D126" s="2"/>
      <c r="E126" s="54" t="s">
        <v>33</v>
      </c>
      <c r="F126" s="54" t="s">
        <v>32</v>
      </c>
      <c r="G126" s="54" t="s">
        <v>31</v>
      </c>
      <c r="H126" s="54" t="s">
        <v>30</v>
      </c>
      <c r="I126" s="54" t="s">
        <v>29</v>
      </c>
      <c r="J126" s="54" t="s">
        <v>28</v>
      </c>
      <c r="K126" s="54" t="s">
        <v>27</v>
      </c>
      <c r="L126" s="54" t="s">
        <v>26</v>
      </c>
      <c r="M126" s="54" t="s">
        <v>25</v>
      </c>
      <c r="N126" s="54" t="s">
        <v>24</v>
      </c>
      <c r="O126" s="54" t="s">
        <v>23</v>
      </c>
      <c r="P126" s="54" t="s">
        <v>22</v>
      </c>
      <c r="Q126" s="54" t="s">
        <v>21</v>
      </c>
      <c r="R126" s="2"/>
      <c r="S126" s="28"/>
      <c r="T126" s="28"/>
    </row>
    <row r="127" spans="1:20" s="1" customFormat="1" x14ac:dyDescent="0.3">
      <c r="D127" s="2"/>
      <c r="E127" s="5" t="s">
        <v>20</v>
      </c>
      <c r="F127" s="8">
        <v>1080.615763546798</v>
      </c>
      <c r="G127" s="8">
        <v>1240.615763546798</v>
      </c>
      <c r="H127" s="8">
        <v>1420.615763546798</v>
      </c>
      <c r="I127" s="8">
        <v>1598.6157635467978</v>
      </c>
      <c r="J127" s="8">
        <v>1755.615763546798</v>
      </c>
      <c r="K127" s="8">
        <v>1810.615763546798</v>
      </c>
      <c r="L127" s="8">
        <v>2080.615763546798</v>
      </c>
      <c r="M127" s="8">
        <v>2360.6157635467976</v>
      </c>
      <c r="N127" s="8">
        <v>2642.615763546798</v>
      </c>
      <c r="O127" s="8">
        <v>2887.615763546798</v>
      </c>
      <c r="P127" s="8">
        <v>3112.615763546798</v>
      </c>
      <c r="Q127" s="8">
        <v>3302.615763546798</v>
      </c>
      <c r="R127" s="2"/>
      <c r="S127" s="28"/>
      <c r="T127" s="28"/>
    </row>
    <row r="128" spans="1:20" s="1" customFormat="1" x14ac:dyDescent="0.3">
      <c r="D128" s="2"/>
      <c r="E128" s="5" t="s">
        <v>19</v>
      </c>
      <c r="F128" s="8">
        <f>SUM(F129:F130)</f>
        <v>980</v>
      </c>
      <c r="G128" s="8">
        <f>SUM(G129:G130)</f>
        <v>997</v>
      </c>
      <c r="H128" s="8">
        <f>SUM(H129:H130)</f>
        <v>1025</v>
      </c>
      <c r="I128" s="8">
        <f>SUM(I129:I130)</f>
        <v>1035</v>
      </c>
      <c r="J128" s="8">
        <f>SUM(J129:J130)</f>
        <v>1051</v>
      </c>
      <c r="K128" s="8">
        <f>SUM(K129:K130)</f>
        <v>1047</v>
      </c>
      <c r="L128" s="8">
        <f>SUM(L129:L130)</f>
        <v>965</v>
      </c>
      <c r="M128" s="8">
        <f>SUM(M129:M130)</f>
        <v>931</v>
      </c>
      <c r="N128" s="8">
        <f>SUM(N129:N130)</f>
        <v>919</v>
      </c>
      <c r="O128" s="8">
        <f>SUM(O129:O130)</f>
        <v>940</v>
      </c>
      <c r="P128" s="8">
        <f>SUM(P129:P130)</f>
        <v>904</v>
      </c>
      <c r="Q128" s="8">
        <f>SUM(Q129:Q130)</f>
        <v>885</v>
      </c>
      <c r="R128" s="2"/>
      <c r="S128" s="28"/>
      <c r="T128" s="28"/>
    </row>
    <row r="129" spans="4:20" s="1" customFormat="1" x14ac:dyDescent="0.3">
      <c r="D129" s="2"/>
      <c r="E129" s="14" t="s">
        <v>41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2"/>
      <c r="S129" s="28"/>
      <c r="T129" s="28"/>
    </row>
    <row r="130" spans="4:20" s="1" customFormat="1" x14ac:dyDescent="0.3">
      <c r="D130" s="2"/>
      <c r="E130" s="14" t="s">
        <v>40</v>
      </c>
      <c r="F130" s="8">
        <v>980</v>
      </c>
      <c r="G130" s="8">
        <v>997</v>
      </c>
      <c r="H130" s="8">
        <v>1025</v>
      </c>
      <c r="I130" s="8">
        <v>1035</v>
      </c>
      <c r="J130" s="8">
        <v>1051</v>
      </c>
      <c r="K130" s="8">
        <v>1047</v>
      </c>
      <c r="L130" s="8">
        <v>965</v>
      </c>
      <c r="M130" s="8">
        <v>931</v>
      </c>
      <c r="N130" s="8">
        <v>919</v>
      </c>
      <c r="O130" s="8">
        <v>940</v>
      </c>
      <c r="P130" s="8">
        <v>904</v>
      </c>
      <c r="Q130" s="8">
        <v>885</v>
      </c>
      <c r="R130" s="2"/>
      <c r="S130" s="28"/>
      <c r="T130" s="28"/>
    </row>
    <row r="131" spans="4:20" s="1" customFormat="1" x14ac:dyDescent="0.3">
      <c r="D131" s="2"/>
      <c r="E131" s="5" t="s">
        <v>39</v>
      </c>
      <c r="F131" s="8">
        <v>40</v>
      </c>
      <c r="G131" s="8">
        <f>SUM(G134:G138)</f>
        <v>35</v>
      </c>
      <c r="H131" s="8">
        <f>SUM(H134:H138)</f>
        <v>41</v>
      </c>
      <c r="I131" s="8">
        <f>SUM(I134:I138)</f>
        <v>38</v>
      </c>
      <c r="J131" s="8">
        <f>SUM(J134:J138)</f>
        <v>52</v>
      </c>
      <c r="K131" s="8">
        <f>SUM(K134:K138)</f>
        <v>71</v>
      </c>
      <c r="L131" s="8">
        <f>SUM(L134:L138)</f>
        <v>114</v>
      </c>
      <c r="M131" s="8">
        <f>SUM(M134:M138)</f>
        <v>83</v>
      </c>
      <c r="N131" s="8">
        <f>SUM(N134:N138)</f>
        <v>53</v>
      </c>
      <c r="O131" s="8">
        <f>SUM(O134:O138)</f>
        <v>50</v>
      </c>
      <c r="P131" s="8">
        <f>SUM(P134:P138)</f>
        <v>54</v>
      </c>
      <c r="Q131" s="8">
        <f>SUM(Q134:Q138)</f>
        <v>42</v>
      </c>
      <c r="R131" s="2"/>
      <c r="S131" s="28"/>
      <c r="T131" s="28"/>
    </row>
    <row r="132" spans="4:20" s="1" customFormat="1" x14ac:dyDescent="0.3">
      <c r="D132" s="2"/>
      <c r="E132" s="5" t="s">
        <v>15</v>
      </c>
      <c r="F132" s="8">
        <v>3</v>
      </c>
      <c r="G132" s="8">
        <v>3</v>
      </c>
      <c r="H132" s="8">
        <v>15</v>
      </c>
      <c r="I132" s="8">
        <v>7</v>
      </c>
      <c r="J132" s="8">
        <v>4</v>
      </c>
      <c r="K132" s="8">
        <v>6</v>
      </c>
      <c r="L132" s="8">
        <v>5</v>
      </c>
      <c r="M132" s="8">
        <v>2</v>
      </c>
      <c r="N132" s="8">
        <v>3</v>
      </c>
      <c r="O132" s="8">
        <v>11</v>
      </c>
      <c r="P132" s="8">
        <v>5</v>
      </c>
      <c r="Q132" s="8">
        <v>6</v>
      </c>
      <c r="R132" s="2"/>
      <c r="S132" s="28"/>
      <c r="T132" s="28"/>
    </row>
    <row r="133" spans="4:20" s="1" customFormat="1" x14ac:dyDescent="0.3">
      <c r="D133" s="2"/>
      <c r="E133" s="5" t="s">
        <v>14</v>
      </c>
      <c r="F133" s="10">
        <v>4.0120361083249748E-2</v>
      </c>
      <c r="G133" s="10">
        <f>IFERROR(G131/F128,0)</f>
        <v>3.5714285714285712E-2</v>
      </c>
      <c r="H133" s="10">
        <f>IFERROR(H131/G128,0)</f>
        <v>4.1123370110330994E-2</v>
      </c>
      <c r="I133" s="10">
        <f>IFERROR(I131/H128,0)</f>
        <v>3.7073170731707315E-2</v>
      </c>
      <c r="J133" s="10">
        <f>IFERROR(J131/I128,0)</f>
        <v>5.0241545893719805E-2</v>
      </c>
      <c r="K133" s="10">
        <f>IFERROR(K131/J128,0)</f>
        <v>6.7554709800190293E-2</v>
      </c>
      <c r="L133" s="10">
        <f>IFERROR(L131/K128,0)</f>
        <v>0.10888252148997135</v>
      </c>
      <c r="M133" s="10">
        <f>IFERROR(M131/L128,0)</f>
        <v>8.6010362694300513E-2</v>
      </c>
      <c r="N133" s="10">
        <f>IFERROR(N131/M128,0)</f>
        <v>5.6928034371643392E-2</v>
      </c>
      <c r="O133" s="10">
        <f>IFERROR(O131/N128,0)</f>
        <v>5.4406964091403699E-2</v>
      </c>
      <c r="P133" s="10">
        <f>IFERROR(P131/O128,0)</f>
        <v>5.7446808510638298E-2</v>
      </c>
      <c r="Q133" s="10">
        <f>IFERROR(Q131/P128,0)</f>
        <v>4.6460176991150445E-2</v>
      </c>
      <c r="R133" s="2"/>
      <c r="S133" s="28"/>
      <c r="T133" s="28"/>
    </row>
    <row r="134" spans="4:20" s="1" customFormat="1" x14ac:dyDescent="0.3">
      <c r="D134" s="2"/>
      <c r="E134" s="5" t="s">
        <v>13</v>
      </c>
      <c r="F134" s="8">
        <v>17</v>
      </c>
      <c r="G134" s="8">
        <v>18</v>
      </c>
      <c r="H134" s="8">
        <v>14</v>
      </c>
      <c r="I134" s="8">
        <v>17</v>
      </c>
      <c r="J134" s="8">
        <v>28</v>
      </c>
      <c r="K134" s="8">
        <v>24</v>
      </c>
      <c r="L134" s="8">
        <v>10</v>
      </c>
      <c r="M134" s="8">
        <v>14</v>
      </c>
      <c r="N134" s="8">
        <v>25</v>
      </c>
      <c r="O134" s="8">
        <v>18</v>
      </c>
      <c r="P134" s="8">
        <v>12</v>
      </c>
      <c r="Q134" s="8">
        <v>12</v>
      </c>
      <c r="R134" s="2"/>
      <c r="S134" s="28"/>
      <c r="T134" s="28"/>
    </row>
    <row r="135" spans="4:20" s="1" customFormat="1" x14ac:dyDescent="0.3">
      <c r="D135" s="2"/>
      <c r="E135" s="5" t="s">
        <v>12</v>
      </c>
      <c r="F135" s="8">
        <v>18</v>
      </c>
      <c r="G135" s="8">
        <v>13</v>
      </c>
      <c r="H135" s="8">
        <v>26</v>
      </c>
      <c r="I135" s="8">
        <v>17</v>
      </c>
      <c r="J135" s="8">
        <v>21</v>
      </c>
      <c r="K135" s="8">
        <v>44</v>
      </c>
      <c r="L135" s="8">
        <v>93</v>
      </c>
      <c r="M135" s="8">
        <v>65</v>
      </c>
      <c r="N135" s="8">
        <v>24</v>
      </c>
      <c r="O135" s="8">
        <v>29</v>
      </c>
      <c r="P135" s="8">
        <v>29</v>
      </c>
      <c r="Q135" s="8">
        <v>2</v>
      </c>
      <c r="R135" s="2"/>
      <c r="S135" s="28"/>
      <c r="T135" s="28"/>
    </row>
    <row r="136" spans="4:20" s="1" customFormat="1" x14ac:dyDescent="0.3">
      <c r="D136" s="2"/>
      <c r="E136" s="5" t="s">
        <v>11</v>
      </c>
      <c r="F136" s="8">
        <v>5</v>
      </c>
      <c r="G136" s="8">
        <v>3</v>
      </c>
      <c r="H136" s="8">
        <v>1</v>
      </c>
      <c r="I136" s="8">
        <v>4</v>
      </c>
      <c r="J136" s="8">
        <v>0</v>
      </c>
      <c r="K136" s="8">
        <v>0</v>
      </c>
      <c r="L136" s="8">
        <v>9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2"/>
      <c r="S136" s="28"/>
      <c r="T136" s="28"/>
    </row>
    <row r="137" spans="4:20" s="1" customFormat="1" x14ac:dyDescent="0.3">
      <c r="D137" s="2"/>
      <c r="E137" s="5" t="s">
        <v>50</v>
      </c>
      <c r="F137" s="42">
        <v>0</v>
      </c>
      <c r="G137" s="42">
        <v>0</v>
      </c>
      <c r="H137" s="42">
        <v>0</v>
      </c>
      <c r="I137" s="42">
        <v>0</v>
      </c>
      <c r="J137" s="42">
        <v>0</v>
      </c>
      <c r="K137" s="42">
        <v>0</v>
      </c>
      <c r="L137" s="42">
        <v>0</v>
      </c>
      <c r="M137" s="42">
        <v>0</v>
      </c>
      <c r="N137" s="42">
        <v>0</v>
      </c>
      <c r="O137" s="42">
        <v>0</v>
      </c>
      <c r="P137" s="42">
        <v>0</v>
      </c>
      <c r="Q137" s="42">
        <v>0</v>
      </c>
      <c r="R137" s="2"/>
      <c r="S137" s="28"/>
      <c r="T137" s="28"/>
    </row>
    <row r="138" spans="4:20" s="1" customFormat="1" x14ac:dyDescent="0.3">
      <c r="D138" s="2"/>
      <c r="E138" s="5" t="s">
        <v>46</v>
      </c>
      <c r="F138" s="42">
        <v>0</v>
      </c>
      <c r="G138" s="42">
        <v>1</v>
      </c>
      <c r="H138" s="42">
        <v>0</v>
      </c>
      <c r="I138" s="42">
        <v>0</v>
      </c>
      <c r="J138" s="42">
        <v>3</v>
      </c>
      <c r="K138" s="42">
        <v>3</v>
      </c>
      <c r="L138" s="42">
        <v>2</v>
      </c>
      <c r="M138" s="42">
        <v>4</v>
      </c>
      <c r="N138" s="42">
        <v>4</v>
      </c>
      <c r="O138" s="42">
        <v>3</v>
      </c>
      <c r="P138" s="42">
        <v>13</v>
      </c>
      <c r="Q138" s="42">
        <v>28</v>
      </c>
      <c r="R138" s="2"/>
      <c r="S138" s="28"/>
      <c r="T138" s="28"/>
    </row>
    <row r="139" spans="4:20" s="1" customFormat="1" x14ac:dyDescent="0.3">
      <c r="D139" s="2"/>
      <c r="E139" s="5" t="s">
        <v>6</v>
      </c>
      <c r="F139" s="23">
        <v>663121.04999999958</v>
      </c>
      <c r="G139" s="23">
        <v>691579.21999999916</v>
      </c>
      <c r="H139" s="23">
        <v>730234.5900000016</v>
      </c>
      <c r="I139" s="23">
        <v>750406.84000000136</v>
      </c>
      <c r="J139" s="23">
        <v>806398.83000000019</v>
      </c>
      <c r="K139" s="23">
        <v>857147.00000000035</v>
      </c>
      <c r="L139" s="23">
        <v>1019958.7399999988</v>
      </c>
      <c r="M139" s="23">
        <v>1000812.8999999994</v>
      </c>
      <c r="N139" s="23">
        <v>990012.84999999905</v>
      </c>
      <c r="O139" s="23">
        <v>1002634.6999999984</v>
      </c>
      <c r="P139" s="23">
        <v>1003629.8899999997</v>
      </c>
      <c r="Q139" s="23">
        <v>965188.69999999984</v>
      </c>
      <c r="R139" s="2"/>
      <c r="S139" s="28"/>
      <c r="T139" s="28"/>
    </row>
    <row r="140" spans="4:20" s="1" customFormat="1" x14ac:dyDescent="0.3">
      <c r="D140" s="2"/>
      <c r="E140" s="5" t="s">
        <v>5</v>
      </c>
      <c r="F140" s="23">
        <v>616206.6999999996</v>
      </c>
      <c r="G140" s="23">
        <v>610843.0299999991</v>
      </c>
      <c r="H140" s="23">
        <v>666185.96000000159</v>
      </c>
      <c r="I140" s="23">
        <v>654995.16000000131</v>
      </c>
      <c r="J140" s="23">
        <v>731251.68000000017</v>
      </c>
      <c r="K140" s="23">
        <v>791307.96000000031</v>
      </c>
      <c r="L140" s="23">
        <v>909600.74999999895</v>
      </c>
      <c r="M140" s="23">
        <v>916445.09999999951</v>
      </c>
      <c r="N140" s="23">
        <v>906820.57999999914</v>
      </c>
      <c r="O140" s="23">
        <v>915713.97999999847</v>
      </c>
      <c r="P140" s="23">
        <v>896999.95999999973</v>
      </c>
      <c r="Q140" s="23">
        <v>877809.78999999992</v>
      </c>
      <c r="R140" s="2"/>
      <c r="S140" s="28"/>
      <c r="T140" s="28"/>
    </row>
    <row r="141" spans="4:20" s="1" customFormat="1" x14ac:dyDescent="0.3">
      <c r="D141" s="2"/>
      <c r="E141" s="5" t="s">
        <v>49</v>
      </c>
      <c r="F141" s="10">
        <f>IFERROR((1-F140/F139),0)</f>
        <v>7.0747791824735451E-2</v>
      </c>
      <c r="G141" s="10">
        <f>IFERROR((1-G140/G139),0)</f>
        <v>0.11674178122355983</v>
      </c>
      <c r="H141" s="10">
        <f>IFERROR((1-H140/H139),0)</f>
        <v>8.7709663274099126E-2</v>
      </c>
      <c r="I141" s="10">
        <f>IFERROR((1-I140/I139),0)</f>
        <v>0.12714660223512875</v>
      </c>
      <c r="J141" s="10">
        <f>IFERROR((1-J140/J139),0)</f>
        <v>9.3188565266147494E-2</v>
      </c>
      <c r="K141" s="10">
        <f>IFERROR((1-K140/K139),0)</f>
        <v>7.6811842076096593E-2</v>
      </c>
      <c r="L141" s="10">
        <f>IFERROR((1-L140/L139),0)</f>
        <v>0.10819848457791537</v>
      </c>
      <c r="M141" s="10">
        <f>IFERROR((1-M140/M139),0)</f>
        <v>8.4299273120880036E-2</v>
      </c>
      <c r="N141" s="10">
        <f>IFERROR((1-N140/N139),0)</f>
        <v>8.403150524763392E-2</v>
      </c>
      <c r="O141" s="10">
        <f>IFERROR((1-O140/O139),0)</f>
        <v>8.6692311766189745E-2</v>
      </c>
      <c r="P141" s="10">
        <f>IFERROR((1-P140/P139),0)</f>
        <v>0.10624427496873368</v>
      </c>
      <c r="Q141" s="10">
        <f>IFERROR((1-Q140/Q139),0)</f>
        <v>9.053039058579937E-2</v>
      </c>
      <c r="R141" s="2"/>
      <c r="S141" s="28"/>
      <c r="T141" s="28"/>
    </row>
    <row r="142" spans="4:20" s="1" customFormat="1" x14ac:dyDescent="0.3">
      <c r="D142" s="2"/>
      <c r="E142" s="5" t="s">
        <v>3</v>
      </c>
      <c r="F142" s="8">
        <v>24</v>
      </c>
      <c r="G142" s="8">
        <v>50</v>
      </c>
      <c r="H142" s="8">
        <v>68</v>
      </c>
      <c r="I142" s="8">
        <v>49</v>
      </c>
      <c r="J142" s="8">
        <v>70</v>
      </c>
      <c r="K142" s="8">
        <v>65</v>
      </c>
      <c r="L142" s="8">
        <v>30</v>
      </c>
      <c r="M142" s="8">
        <v>52</v>
      </c>
      <c r="N142" s="8">
        <v>39</v>
      </c>
      <c r="O142" s="8">
        <v>65</v>
      </c>
      <c r="P142" s="8">
        <v>17</v>
      </c>
      <c r="Q142" s="8">
        <v>24</v>
      </c>
      <c r="R142" s="2"/>
      <c r="S142" s="28"/>
      <c r="T142" s="28"/>
    </row>
    <row r="143" spans="4:20" s="1" customFormat="1" x14ac:dyDescent="0.3">
      <c r="D143" s="2"/>
      <c r="E143" s="5" t="s">
        <v>2</v>
      </c>
      <c r="F143" s="24">
        <f>IFERROR(F139/F128,0)</f>
        <v>676.65413265306074</v>
      </c>
      <c r="G143" s="24">
        <f>IFERROR(G139/G128,0)</f>
        <v>693.6602006018046</v>
      </c>
      <c r="H143" s="24">
        <f>IFERROR(H139/H128,0)</f>
        <v>712.42399024390397</v>
      </c>
      <c r="I143" s="24">
        <f>IFERROR(I139/I128,0)</f>
        <v>725.0307632850255</v>
      </c>
      <c r="J143" s="24">
        <f>IFERROR(J139/J128,0)</f>
        <v>767.26815413891552</v>
      </c>
      <c r="K143" s="24">
        <f>IFERROR(K139/K128,0)</f>
        <v>818.6695319961799</v>
      </c>
      <c r="L143" s="24">
        <f>IFERROR(L139/L128,0)</f>
        <v>1056.9520621761646</v>
      </c>
      <c r="M143" s="24">
        <f>IFERROR(M139/M128,0)</f>
        <v>1074.9870032223409</v>
      </c>
      <c r="N143" s="24">
        <f>IFERROR(N139/N128,0)</f>
        <v>1077.2718715995636</v>
      </c>
      <c r="O143" s="24">
        <f>IFERROR(O139/O128,0)</f>
        <v>1066.6326595744665</v>
      </c>
      <c r="P143" s="24">
        <f>IFERROR(P139/P128,0)</f>
        <v>1110.2100553097341</v>
      </c>
      <c r="Q143" s="24">
        <f>IFERROR(Q139/Q128,0)</f>
        <v>1090.6087005649715</v>
      </c>
      <c r="R143" s="2"/>
      <c r="S143" s="28"/>
      <c r="T143" s="28"/>
    </row>
    <row r="144" spans="4:20" s="1" customFormat="1" x14ac:dyDescent="0.3">
      <c r="D144" s="2"/>
      <c r="E144" s="5" t="s">
        <v>1</v>
      </c>
      <c r="F144" s="56">
        <v>19660.885849999991</v>
      </c>
      <c r="G144" s="56">
        <v>22433.15</v>
      </c>
      <c r="H144" s="56">
        <v>32579.26</v>
      </c>
      <c r="I144" s="56">
        <v>22589.89</v>
      </c>
      <c r="J144" s="56">
        <v>39077.06</v>
      </c>
      <c r="K144" s="56">
        <v>26470.99</v>
      </c>
      <c r="L144" s="56">
        <v>0</v>
      </c>
      <c r="M144" s="56">
        <v>0</v>
      </c>
      <c r="N144" s="56">
        <v>0</v>
      </c>
      <c r="O144" s="56">
        <v>0</v>
      </c>
      <c r="P144" s="56">
        <v>0</v>
      </c>
      <c r="Q144" s="56">
        <v>0</v>
      </c>
      <c r="R144" s="2"/>
      <c r="S144" s="28"/>
      <c r="T144" s="28"/>
    </row>
    <row r="145" spans="1:20" s="1" customFormat="1" x14ac:dyDescent="0.3">
      <c r="D145" s="2"/>
      <c r="E145" s="5" t="s">
        <v>0</v>
      </c>
      <c r="F145" s="56">
        <v>10280</v>
      </c>
      <c r="G145" s="56">
        <v>0</v>
      </c>
      <c r="H145" s="56">
        <v>0</v>
      </c>
      <c r="I145" s="56">
        <v>0</v>
      </c>
      <c r="J145" s="56">
        <v>0</v>
      </c>
      <c r="K145" s="56">
        <v>0</v>
      </c>
      <c r="L145" s="56">
        <v>0</v>
      </c>
      <c r="M145" s="56">
        <v>0</v>
      </c>
      <c r="N145" s="56">
        <v>0</v>
      </c>
      <c r="O145" s="56">
        <v>0</v>
      </c>
      <c r="P145" s="56">
        <v>0</v>
      </c>
      <c r="Q145" s="56">
        <v>0</v>
      </c>
      <c r="R145" s="2"/>
      <c r="S145" s="28"/>
      <c r="T145" s="28"/>
    </row>
    <row r="146" spans="1:20" s="1" customFormat="1" hidden="1" x14ac:dyDescent="0.3">
      <c r="A146" s="2"/>
      <c r="B146" s="2"/>
      <c r="C146" s="2"/>
      <c r="D146" s="2"/>
      <c r="E146" s="2"/>
      <c r="F146" s="55"/>
      <c r="G146" s="55"/>
      <c r="H146" s="55"/>
      <c r="I146" s="61"/>
      <c r="J146" s="55"/>
      <c r="K146" s="60"/>
      <c r="L146" s="29"/>
      <c r="M146" s="29"/>
      <c r="N146" s="29"/>
      <c r="O146" s="29"/>
      <c r="P146" s="29"/>
      <c r="Q146" s="29"/>
      <c r="R146" s="2"/>
      <c r="S146" s="28"/>
      <c r="T146" s="28"/>
    </row>
    <row r="147" spans="1:20" s="1" customFormat="1" hidden="1" x14ac:dyDescent="0.3">
      <c r="A147" s="2"/>
      <c r="B147" s="2"/>
      <c r="C147" s="2"/>
      <c r="D147" s="2"/>
      <c r="E147" s="2"/>
      <c r="F147" s="55"/>
      <c r="G147" s="55"/>
      <c r="H147" s="55"/>
      <c r="I147" s="61"/>
      <c r="J147" s="55"/>
      <c r="K147" s="60"/>
      <c r="L147" s="29"/>
      <c r="M147" s="29"/>
      <c r="N147" s="29"/>
      <c r="O147" s="29"/>
      <c r="P147" s="29"/>
      <c r="Q147" s="29"/>
      <c r="R147" s="2"/>
      <c r="S147" s="28"/>
      <c r="T147" s="28"/>
    </row>
    <row r="148" spans="1:20" s="1" customFormat="1" ht="3.6" customHeight="1" x14ac:dyDescent="0.3">
      <c r="A148" s="2"/>
      <c r="B148" s="2"/>
      <c r="C148" s="2"/>
      <c r="D148" s="2"/>
      <c r="E148" s="2"/>
      <c r="F148" s="55"/>
      <c r="G148" s="55"/>
      <c r="H148" s="55"/>
      <c r="I148" s="61"/>
      <c r="J148" s="55"/>
      <c r="K148" s="60"/>
      <c r="L148" s="29"/>
      <c r="M148" s="29"/>
      <c r="N148" s="29"/>
      <c r="O148" s="29"/>
      <c r="P148" s="29"/>
      <c r="Q148" s="29"/>
      <c r="R148" s="2"/>
      <c r="S148" s="28"/>
      <c r="T148" s="28"/>
    </row>
    <row r="149" spans="1:20" s="1" customFormat="1" x14ac:dyDescent="0.3">
      <c r="D149" s="2"/>
      <c r="E149" s="54" t="s">
        <v>33</v>
      </c>
      <c r="F149" s="54" t="s">
        <v>32</v>
      </c>
      <c r="G149" s="54" t="s">
        <v>31</v>
      </c>
      <c r="H149" s="54" t="s">
        <v>30</v>
      </c>
      <c r="I149" s="54" t="s">
        <v>29</v>
      </c>
      <c r="J149" s="54" t="s">
        <v>28</v>
      </c>
      <c r="K149" s="54" t="s">
        <v>27</v>
      </c>
      <c r="L149" s="54" t="s">
        <v>26</v>
      </c>
      <c r="M149" s="54" t="s">
        <v>25</v>
      </c>
      <c r="N149" s="54" t="s">
        <v>24</v>
      </c>
      <c r="O149" s="54" t="s">
        <v>23</v>
      </c>
      <c r="P149" s="54" t="s">
        <v>22</v>
      </c>
      <c r="Q149" s="54" t="s">
        <v>21</v>
      </c>
      <c r="R149" s="2"/>
      <c r="S149" s="28"/>
      <c r="T149" s="28"/>
    </row>
    <row r="150" spans="1:20" s="1" customFormat="1" x14ac:dyDescent="0.3">
      <c r="D150" s="2"/>
      <c r="E150" s="5" t="s">
        <v>20</v>
      </c>
      <c r="F150" s="42" t="s">
        <v>34</v>
      </c>
      <c r="G150" s="42" t="s">
        <v>34</v>
      </c>
      <c r="H150" s="42" t="s">
        <v>34</v>
      </c>
      <c r="I150" s="42" t="s">
        <v>34</v>
      </c>
      <c r="J150" s="42" t="s">
        <v>34</v>
      </c>
      <c r="K150" s="42" t="s">
        <v>34</v>
      </c>
      <c r="L150" s="42" t="s">
        <v>34</v>
      </c>
      <c r="M150" s="42" t="s">
        <v>34</v>
      </c>
      <c r="N150" s="42" t="s">
        <v>34</v>
      </c>
      <c r="O150" s="42" t="s">
        <v>34</v>
      </c>
      <c r="P150" s="42" t="s">
        <v>34</v>
      </c>
      <c r="Q150" s="42" t="s">
        <v>34</v>
      </c>
      <c r="R150" s="2"/>
      <c r="S150" s="28"/>
      <c r="T150" s="28"/>
    </row>
    <row r="151" spans="1:20" s="1" customFormat="1" x14ac:dyDescent="0.3">
      <c r="D151" s="2"/>
      <c r="E151" s="5" t="s">
        <v>19</v>
      </c>
      <c r="F151" s="8">
        <f>SUM(F152:F153)</f>
        <v>0</v>
      </c>
      <c r="G151" s="8">
        <f>SUM(G152:G153)</f>
        <v>9</v>
      </c>
      <c r="H151" s="8">
        <f>SUM(H152:H153)</f>
        <v>69</v>
      </c>
      <c r="I151" s="8">
        <f>SUM(I152:I153)</f>
        <v>165</v>
      </c>
      <c r="J151" s="8">
        <f>SUM(J152:J153)</f>
        <v>248</v>
      </c>
      <c r="K151" s="8">
        <f>SUM(K152:K153)</f>
        <v>347</v>
      </c>
      <c r="L151" s="8">
        <f>SUM(L152:L153)</f>
        <v>538</v>
      </c>
      <c r="M151" s="8">
        <f>SUM(M152:M153)</f>
        <v>869</v>
      </c>
      <c r="N151" s="8">
        <f>SUM(N152:N153)</f>
        <v>1069</v>
      </c>
      <c r="O151" s="8">
        <f>SUM(O152:O153)</f>
        <v>1224</v>
      </c>
      <c r="P151" s="8">
        <f>SUM(P152:P153)</f>
        <v>1322</v>
      </c>
      <c r="Q151" s="8">
        <f>SUM(Q152:Q153)</f>
        <v>1392</v>
      </c>
      <c r="R151" s="2"/>
      <c r="S151" s="28"/>
      <c r="T151" s="28"/>
    </row>
    <row r="152" spans="1:20" s="1" customFormat="1" x14ac:dyDescent="0.3">
      <c r="D152" s="2"/>
      <c r="E152" s="14" t="s">
        <v>41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1</v>
      </c>
      <c r="L152" s="8">
        <v>2</v>
      </c>
      <c r="M152" s="8">
        <v>3</v>
      </c>
      <c r="N152" s="8">
        <v>3</v>
      </c>
      <c r="O152" s="8">
        <v>3</v>
      </c>
      <c r="P152" s="8">
        <v>3</v>
      </c>
      <c r="Q152" s="8">
        <v>3</v>
      </c>
      <c r="R152" s="2"/>
      <c r="S152" s="28"/>
      <c r="T152" s="28"/>
    </row>
    <row r="153" spans="1:20" s="1" customFormat="1" x14ac:dyDescent="0.3">
      <c r="D153" s="2"/>
      <c r="E153" s="14" t="s">
        <v>40</v>
      </c>
      <c r="F153" s="8">
        <v>0</v>
      </c>
      <c r="G153" s="8">
        <v>9</v>
      </c>
      <c r="H153" s="8">
        <v>69</v>
      </c>
      <c r="I153" s="8">
        <v>165</v>
      </c>
      <c r="J153" s="8">
        <v>248</v>
      </c>
      <c r="K153" s="8">
        <v>346</v>
      </c>
      <c r="L153" s="8">
        <v>536</v>
      </c>
      <c r="M153" s="8">
        <v>866</v>
      </c>
      <c r="N153" s="8">
        <v>1066</v>
      </c>
      <c r="O153" s="8">
        <v>1221</v>
      </c>
      <c r="P153" s="8">
        <v>1319</v>
      </c>
      <c r="Q153" s="8">
        <v>1389</v>
      </c>
      <c r="R153" s="2"/>
      <c r="S153" s="28"/>
      <c r="T153" s="28"/>
    </row>
    <row r="154" spans="1:20" s="1" customFormat="1" x14ac:dyDescent="0.3">
      <c r="D154" s="2"/>
      <c r="E154" s="5" t="s">
        <v>39</v>
      </c>
      <c r="F154" s="8">
        <v>0</v>
      </c>
      <c r="G154" s="8">
        <f>SUM(G157:G161)</f>
        <v>2</v>
      </c>
      <c r="H154" s="8">
        <f>SUM(H157:H161)</f>
        <v>2</v>
      </c>
      <c r="I154" s="8">
        <f>SUM(I157:I161)</f>
        <v>4</v>
      </c>
      <c r="J154" s="8">
        <f>SUM(J157:J161)</f>
        <v>19</v>
      </c>
      <c r="K154" s="8">
        <f>SUM(K157:K161)</f>
        <v>38</v>
      </c>
      <c r="L154" s="8">
        <f>SUM(L157:L161)</f>
        <v>46</v>
      </c>
      <c r="M154" s="8">
        <f>SUM(M157:M161)</f>
        <v>64</v>
      </c>
      <c r="N154" s="8">
        <f>SUM(N157:N161)</f>
        <v>78</v>
      </c>
      <c r="O154" s="8">
        <f>SUM(O157:O161)</f>
        <v>93</v>
      </c>
      <c r="P154" s="8">
        <f>SUM(P157:P161)</f>
        <v>84</v>
      </c>
      <c r="Q154" s="8">
        <f>SUM(Q157:Q161)</f>
        <v>86</v>
      </c>
      <c r="R154" s="2"/>
      <c r="S154" s="28"/>
      <c r="T154" s="28"/>
    </row>
    <row r="155" spans="1:20" s="1" customFormat="1" x14ac:dyDescent="0.3">
      <c r="D155" s="2"/>
      <c r="E155" s="5" t="s">
        <v>15</v>
      </c>
      <c r="F155" s="8">
        <v>0</v>
      </c>
      <c r="G155" s="8">
        <v>2</v>
      </c>
      <c r="H155" s="8">
        <v>12</v>
      </c>
      <c r="I155" s="8">
        <v>12</v>
      </c>
      <c r="J155" s="8">
        <v>13</v>
      </c>
      <c r="K155" s="8">
        <v>10</v>
      </c>
      <c r="L155" s="8">
        <v>43</v>
      </c>
      <c r="M155" s="8">
        <v>26</v>
      </c>
      <c r="N155" s="8">
        <v>15</v>
      </c>
      <c r="O155" s="8">
        <v>12</v>
      </c>
      <c r="P155" s="8">
        <v>11</v>
      </c>
      <c r="Q155" s="8">
        <v>7</v>
      </c>
      <c r="R155" s="2"/>
      <c r="S155" s="28"/>
      <c r="T155" s="28"/>
    </row>
    <row r="156" spans="1:20" s="1" customFormat="1" x14ac:dyDescent="0.3">
      <c r="D156" s="2"/>
      <c r="E156" s="5" t="s">
        <v>14</v>
      </c>
      <c r="F156" s="10">
        <v>0</v>
      </c>
      <c r="G156" s="10">
        <f>IFERROR(G154/F151,0)</f>
        <v>0</v>
      </c>
      <c r="H156" s="10">
        <f>IFERROR(H154/G151,0)</f>
        <v>0.22222222222222221</v>
      </c>
      <c r="I156" s="10">
        <f>IFERROR(I154/H151,0)</f>
        <v>5.7971014492753624E-2</v>
      </c>
      <c r="J156" s="10">
        <f>IFERROR(J154/I151,0)</f>
        <v>0.11515151515151516</v>
      </c>
      <c r="K156" s="10">
        <f>IFERROR(K154/J151,0)</f>
        <v>0.15322580645161291</v>
      </c>
      <c r="L156" s="10">
        <f>IFERROR(L154/K151,0)</f>
        <v>0.13256484149855907</v>
      </c>
      <c r="M156" s="10">
        <f>IFERROR(M154/L151,0)</f>
        <v>0.11895910780669144</v>
      </c>
      <c r="N156" s="10">
        <f>IFERROR(N154/M151,0)</f>
        <v>8.9758342922899886E-2</v>
      </c>
      <c r="O156" s="10">
        <f>IFERROR(O154/N151,0)</f>
        <v>8.699719363891488E-2</v>
      </c>
      <c r="P156" s="10">
        <f>IFERROR(P154/O151,0)</f>
        <v>6.8627450980392163E-2</v>
      </c>
      <c r="Q156" s="10">
        <f>IFERROR(Q154/P151,0)</f>
        <v>6.5052950075642962E-2</v>
      </c>
      <c r="R156" s="2"/>
      <c r="S156" s="28"/>
      <c r="T156" s="28"/>
    </row>
    <row r="157" spans="1:20" s="1" customFormat="1" x14ac:dyDescent="0.3">
      <c r="D157" s="2"/>
      <c r="E157" s="5" t="s">
        <v>13</v>
      </c>
      <c r="F157" s="8">
        <v>0</v>
      </c>
      <c r="G157" s="8">
        <v>0</v>
      </c>
      <c r="H157" s="8">
        <v>0</v>
      </c>
      <c r="I157" s="8">
        <v>0</v>
      </c>
      <c r="J157" s="8">
        <v>11</v>
      </c>
      <c r="K157" s="8">
        <v>19</v>
      </c>
      <c r="L157" s="8">
        <v>29</v>
      </c>
      <c r="M157" s="8">
        <v>43</v>
      </c>
      <c r="N157" s="8">
        <v>53</v>
      </c>
      <c r="O157" s="8">
        <v>65</v>
      </c>
      <c r="P157" s="8">
        <v>58</v>
      </c>
      <c r="Q157" s="8">
        <v>64</v>
      </c>
      <c r="R157" s="2"/>
      <c r="S157" s="28"/>
      <c r="T157" s="28"/>
    </row>
    <row r="158" spans="1:20" s="1" customFormat="1" x14ac:dyDescent="0.3">
      <c r="D158" s="2"/>
      <c r="E158" s="5" t="s">
        <v>12</v>
      </c>
      <c r="F158" s="8">
        <v>0</v>
      </c>
      <c r="G158" s="8">
        <v>1</v>
      </c>
      <c r="H158" s="8">
        <v>2</v>
      </c>
      <c r="I158" s="8">
        <v>3</v>
      </c>
      <c r="J158" s="8">
        <v>8</v>
      </c>
      <c r="K158" s="8">
        <v>19</v>
      </c>
      <c r="L158" s="8">
        <v>17</v>
      </c>
      <c r="M158" s="8">
        <v>21</v>
      </c>
      <c r="N158" s="8">
        <v>25</v>
      </c>
      <c r="O158" s="8">
        <v>28</v>
      </c>
      <c r="P158" s="8">
        <v>24</v>
      </c>
      <c r="Q158" s="8">
        <v>0</v>
      </c>
      <c r="R158" s="2"/>
      <c r="S158" s="28"/>
      <c r="T158" s="28"/>
    </row>
    <row r="159" spans="1:20" s="1" customFormat="1" x14ac:dyDescent="0.3">
      <c r="D159" s="2"/>
      <c r="E159" s="5" t="s">
        <v>11</v>
      </c>
      <c r="F159" s="8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2"/>
      <c r="S159" s="28"/>
      <c r="T159" s="28"/>
    </row>
    <row r="160" spans="1:20" s="1" customFormat="1" x14ac:dyDescent="0.3">
      <c r="D160" s="2"/>
      <c r="E160" s="5" t="s">
        <v>50</v>
      </c>
      <c r="F160" s="42">
        <v>0</v>
      </c>
      <c r="G160" s="42">
        <v>0</v>
      </c>
      <c r="H160" s="42">
        <v>0</v>
      </c>
      <c r="I160" s="42">
        <v>0</v>
      </c>
      <c r="J160" s="42">
        <v>0</v>
      </c>
      <c r="K160" s="42">
        <v>0</v>
      </c>
      <c r="L160" s="42">
        <v>0</v>
      </c>
      <c r="M160" s="42">
        <v>0</v>
      </c>
      <c r="N160" s="42">
        <v>0</v>
      </c>
      <c r="O160" s="42">
        <v>0</v>
      </c>
      <c r="P160" s="42">
        <v>0</v>
      </c>
      <c r="Q160" s="42">
        <v>0</v>
      </c>
      <c r="R160" s="2"/>
      <c r="S160" s="28"/>
      <c r="T160" s="28"/>
    </row>
    <row r="161" spans="1:20" s="1" customFormat="1" x14ac:dyDescent="0.3">
      <c r="D161" s="2"/>
      <c r="E161" s="5" t="s">
        <v>46</v>
      </c>
      <c r="F161" s="42">
        <v>1</v>
      </c>
      <c r="G161" s="42">
        <v>1</v>
      </c>
      <c r="H161" s="42">
        <v>0</v>
      </c>
      <c r="I161" s="42">
        <v>1</v>
      </c>
      <c r="J161" s="42">
        <v>0</v>
      </c>
      <c r="K161" s="42">
        <v>0</v>
      </c>
      <c r="L161" s="42">
        <v>0</v>
      </c>
      <c r="M161" s="42">
        <v>0</v>
      </c>
      <c r="N161" s="42">
        <v>0</v>
      </c>
      <c r="O161" s="42">
        <v>0</v>
      </c>
      <c r="P161" s="42">
        <v>2</v>
      </c>
      <c r="Q161" s="42">
        <v>22</v>
      </c>
      <c r="R161" s="2"/>
      <c r="S161" s="28"/>
      <c r="T161" s="28"/>
    </row>
    <row r="162" spans="1:20" s="1" customFormat="1" x14ac:dyDescent="0.3">
      <c r="D162" s="2"/>
      <c r="E162" s="5" t="s">
        <v>6</v>
      </c>
      <c r="F162" s="23">
        <v>0</v>
      </c>
      <c r="G162" s="23">
        <v>2784.61</v>
      </c>
      <c r="H162" s="23">
        <v>19359.129999999997</v>
      </c>
      <c r="I162" s="23">
        <v>42094.85000000002</v>
      </c>
      <c r="J162" s="23">
        <v>64074.130000000034</v>
      </c>
      <c r="K162" s="23">
        <v>85536.880000000063</v>
      </c>
      <c r="L162" s="23">
        <v>137607.86999999982</v>
      </c>
      <c r="M162" s="23">
        <v>217810.25999999983</v>
      </c>
      <c r="N162" s="23">
        <v>274059.25000000012</v>
      </c>
      <c r="O162" s="23">
        <v>311794.07000000041</v>
      </c>
      <c r="P162" s="23">
        <v>337201.36999999988</v>
      </c>
      <c r="Q162" s="23">
        <v>356894.82999999961</v>
      </c>
      <c r="R162" s="2"/>
      <c r="S162" s="28"/>
      <c r="T162" s="28"/>
    </row>
    <row r="163" spans="1:20" s="1" customFormat="1" x14ac:dyDescent="0.3">
      <c r="D163" s="2"/>
      <c r="E163" s="5" t="s">
        <v>5</v>
      </c>
      <c r="F163" s="23">
        <v>0</v>
      </c>
      <c r="G163" s="23">
        <v>1867.78</v>
      </c>
      <c r="H163" s="23">
        <v>15596.72</v>
      </c>
      <c r="I163" s="23">
        <v>25025.080000000009</v>
      </c>
      <c r="J163" s="23">
        <v>48550.730000000018</v>
      </c>
      <c r="K163" s="23">
        <v>59237.950000000041</v>
      </c>
      <c r="L163" s="23">
        <v>105952.68999999978</v>
      </c>
      <c r="M163" s="23">
        <v>177403.48999999982</v>
      </c>
      <c r="N163" s="23">
        <v>222177.02000000005</v>
      </c>
      <c r="O163" s="23">
        <v>259420.13000000035</v>
      </c>
      <c r="P163" s="23">
        <v>279070.83999999979</v>
      </c>
      <c r="Q163" s="23">
        <v>291462.28999999957</v>
      </c>
      <c r="R163" s="2"/>
      <c r="S163" s="28"/>
      <c r="T163" s="28"/>
    </row>
    <row r="164" spans="1:20" s="1" customFormat="1" x14ac:dyDescent="0.3">
      <c r="D164" s="2"/>
      <c r="E164" s="5" t="s">
        <v>49</v>
      </c>
      <c r="F164" s="10">
        <f>IFERROR((1-F163/F162),0)</f>
        <v>0</v>
      </c>
      <c r="G164" s="10">
        <f>IFERROR((1-G163/G162),0)</f>
        <v>0.32924897921073337</v>
      </c>
      <c r="H164" s="10">
        <f>IFERROR((1-H163/H162),0)</f>
        <v>0.19434809312195322</v>
      </c>
      <c r="I164" s="10">
        <f>IFERROR((1-I163/I162),0)</f>
        <v>0.405507324530198</v>
      </c>
      <c r="J164" s="10">
        <f>IFERROR((1-J163/J162),0)</f>
        <v>0.24227250529972089</v>
      </c>
      <c r="K164" s="10">
        <f>IFERROR((1-K163/K162),0)</f>
        <v>0.30745720442457103</v>
      </c>
      <c r="L164" s="10">
        <f>IFERROR((1-L163/L162),0)</f>
        <v>0.23003902320412395</v>
      </c>
      <c r="M164" s="10">
        <f>IFERROR((1-M163/M162),0)</f>
        <v>0.18551362089187184</v>
      </c>
      <c r="N164" s="10">
        <f>IFERROR((1-N163/N162),0)</f>
        <v>0.18931026776144222</v>
      </c>
      <c r="O164" s="10">
        <f>IFERROR((1-O163/O162),0)</f>
        <v>0.16797606189238934</v>
      </c>
      <c r="P164" s="10">
        <f>IFERROR((1-P163/P162),0)</f>
        <v>0.17239114419968138</v>
      </c>
      <c r="Q164" s="10">
        <f>IFERROR((1-Q163/Q162),0)</f>
        <v>0.18333843614377965</v>
      </c>
      <c r="R164" s="2"/>
      <c r="S164" s="28"/>
      <c r="T164" s="28"/>
    </row>
    <row r="165" spans="1:20" s="1" customFormat="1" x14ac:dyDescent="0.3">
      <c r="D165" s="2"/>
      <c r="E165" s="5" t="s">
        <v>3</v>
      </c>
      <c r="F165" s="8">
        <v>0</v>
      </c>
      <c r="G165" s="8">
        <v>9</v>
      </c>
      <c r="H165" s="8">
        <v>60</v>
      </c>
      <c r="I165" s="8">
        <v>100</v>
      </c>
      <c r="J165" s="8">
        <v>100</v>
      </c>
      <c r="K165" s="8">
        <v>131</v>
      </c>
      <c r="L165" s="8">
        <v>233</v>
      </c>
      <c r="M165" s="8">
        <v>387</v>
      </c>
      <c r="N165" s="8">
        <v>273</v>
      </c>
      <c r="O165" s="8">
        <v>244</v>
      </c>
      <c r="P165" s="8">
        <v>181</v>
      </c>
      <c r="Q165" s="8">
        <v>152</v>
      </c>
      <c r="R165" s="2"/>
      <c r="S165" s="28"/>
      <c r="T165" s="28"/>
    </row>
    <row r="166" spans="1:20" s="1" customFormat="1" x14ac:dyDescent="0.3">
      <c r="D166" s="2"/>
      <c r="E166" s="5" t="s">
        <v>2</v>
      </c>
      <c r="F166" s="24">
        <f>IFERROR(F162/F151,0)</f>
        <v>0</v>
      </c>
      <c r="G166" s="24">
        <f>IFERROR(G162/G151,0)</f>
        <v>309.40111111111111</v>
      </c>
      <c r="H166" s="24">
        <f>IFERROR(H162/H151,0)</f>
        <v>280.5671014492753</v>
      </c>
      <c r="I166" s="24">
        <f>IFERROR(I162/I151,0)</f>
        <v>255.12030303030315</v>
      </c>
      <c r="J166" s="24">
        <f>IFERROR(J162/J151,0)</f>
        <v>258.36342741935499</v>
      </c>
      <c r="K166" s="24">
        <f>IFERROR(K162/K151,0)</f>
        <v>246.50397694524514</v>
      </c>
      <c r="L166" s="24">
        <f>IFERROR(L162/L151,0)</f>
        <v>255.77671003717438</v>
      </c>
      <c r="M166" s="24">
        <f>IFERROR(M162/M151,0)</f>
        <v>250.6447180667432</v>
      </c>
      <c r="N166" s="24">
        <f>IFERROR(N162/N151,0)</f>
        <v>256.3697380729655</v>
      </c>
      <c r="O166" s="24">
        <f>IFERROR(O162/O151,0)</f>
        <v>254.73371732026177</v>
      </c>
      <c r="P166" s="24">
        <f>IFERROR(P162/P151,0)</f>
        <v>255.06911497730701</v>
      </c>
      <c r="Q166" s="24">
        <f>IFERROR(Q162/Q151,0)</f>
        <v>256.38996408045949</v>
      </c>
      <c r="R166" s="2"/>
      <c r="S166" s="28"/>
      <c r="T166" s="28"/>
    </row>
    <row r="167" spans="1:20" s="1" customFormat="1" x14ac:dyDescent="0.3">
      <c r="D167" s="2"/>
      <c r="E167" s="5" t="s">
        <v>1</v>
      </c>
      <c r="F167" s="56">
        <v>0</v>
      </c>
      <c r="G167" s="56">
        <v>0</v>
      </c>
      <c r="H167" s="56">
        <v>6385.64</v>
      </c>
      <c r="I167" s="56">
        <v>6589.47</v>
      </c>
      <c r="J167" s="56">
        <v>9292.9500000000007</v>
      </c>
      <c r="K167" s="56">
        <v>9490.1299999999992</v>
      </c>
      <c r="L167" s="56">
        <v>0</v>
      </c>
      <c r="M167" s="56">
        <v>0</v>
      </c>
      <c r="N167" s="56">
        <v>0</v>
      </c>
      <c r="O167" s="56">
        <v>0</v>
      </c>
      <c r="P167" s="56">
        <v>0</v>
      </c>
      <c r="Q167" s="56">
        <v>0</v>
      </c>
      <c r="R167" s="2"/>
      <c r="S167" s="28"/>
      <c r="T167" s="28"/>
    </row>
    <row r="168" spans="1:20" s="1" customFormat="1" x14ac:dyDescent="0.3">
      <c r="D168" s="2"/>
      <c r="E168" s="5" t="s">
        <v>0</v>
      </c>
      <c r="F168" s="56">
        <v>0</v>
      </c>
      <c r="G168" s="56">
        <v>0</v>
      </c>
      <c r="H168" s="56">
        <v>0</v>
      </c>
      <c r="I168" s="56">
        <v>0</v>
      </c>
      <c r="J168" s="56">
        <v>0</v>
      </c>
      <c r="K168" s="56">
        <v>0</v>
      </c>
      <c r="L168" s="56">
        <v>0</v>
      </c>
      <c r="M168" s="56">
        <v>0</v>
      </c>
      <c r="N168" s="56">
        <v>0</v>
      </c>
      <c r="O168" s="56">
        <v>0</v>
      </c>
      <c r="P168" s="56">
        <v>0</v>
      </c>
      <c r="Q168" s="56">
        <v>0</v>
      </c>
      <c r="R168" s="2"/>
      <c r="S168" s="28"/>
      <c r="T168" s="28"/>
    </row>
    <row r="169" spans="1:20" s="1" customFormat="1" hidden="1" x14ac:dyDescent="0.3">
      <c r="A169" s="2"/>
      <c r="B169" s="2"/>
      <c r="C169" s="2"/>
      <c r="D169" s="2"/>
      <c r="E169" s="2"/>
      <c r="F169" s="55"/>
      <c r="G169" s="55"/>
      <c r="H169" s="55"/>
      <c r="I169" s="61"/>
      <c r="J169" s="55"/>
      <c r="K169" s="60"/>
      <c r="L169" s="29"/>
      <c r="M169" s="29"/>
      <c r="N169" s="29"/>
      <c r="O169" s="29"/>
      <c r="P169" s="29"/>
      <c r="Q169" s="29"/>
      <c r="R169" s="2"/>
      <c r="S169" s="28"/>
      <c r="T169" s="28"/>
    </row>
    <row r="170" spans="1:20" s="1" customFormat="1" ht="3.6" customHeight="1" x14ac:dyDescent="0.3">
      <c r="A170" s="2"/>
      <c r="B170" s="2"/>
      <c r="C170" s="2"/>
      <c r="D170" s="2"/>
      <c r="E170" s="2"/>
      <c r="F170" s="55"/>
      <c r="G170" s="55"/>
      <c r="H170" s="55"/>
      <c r="I170" s="61"/>
      <c r="J170" s="55"/>
      <c r="K170" s="60"/>
      <c r="L170" s="29"/>
      <c r="M170" s="29"/>
      <c r="N170" s="29"/>
      <c r="O170" s="29"/>
      <c r="P170" s="29"/>
      <c r="Q170" s="29"/>
      <c r="R170" s="2"/>
      <c r="S170" s="28"/>
      <c r="T170" s="28"/>
    </row>
    <row r="171" spans="1:20" s="1" customFormat="1" x14ac:dyDescent="0.3">
      <c r="D171" s="2"/>
      <c r="E171" s="54" t="s">
        <v>33</v>
      </c>
      <c r="F171" s="54" t="s">
        <v>32</v>
      </c>
      <c r="G171" s="54" t="s">
        <v>31</v>
      </c>
      <c r="H171" s="54" t="s">
        <v>30</v>
      </c>
      <c r="I171" s="54" t="s">
        <v>29</v>
      </c>
      <c r="J171" s="54" t="s">
        <v>28</v>
      </c>
      <c r="K171" s="54" t="s">
        <v>27</v>
      </c>
      <c r="L171" s="54" t="s">
        <v>26</v>
      </c>
      <c r="M171" s="54" t="s">
        <v>25</v>
      </c>
      <c r="N171" s="54" t="s">
        <v>24</v>
      </c>
      <c r="O171" s="54" t="s">
        <v>23</v>
      </c>
      <c r="P171" s="54" t="s">
        <v>22</v>
      </c>
      <c r="Q171" s="54" t="s">
        <v>21</v>
      </c>
      <c r="R171" s="2"/>
      <c r="S171" s="28"/>
      <c r="T171" s="28"/>
    </row>
    <row r="172" spans="1:20" s="1" customFormat="1" x14ac:dyDescent="0.3">
      <c r="D172" s="2"/>
      <c r="E172" s="5" t="s">
        <v>20</v>
      </c>
      <c r="F172" s="42" t="s">
        <v>34</v>
      </c>
      <c r="G172" s="42" t="s">
        <v>34</v>
      </c>
      <c r="H172" s="42" t="s">
        <v>34</v>
      </c>
      <c r="I172" s="42" t="s">
        <v>34</v>
      </c>
      <c r="J172" s="42" t="s">
        <v>34</v>
      </c>
      <c r="K172" s="42" t="s">
        <v>34</v>
      </c>
      <c r="L172" s="42" t="s">
        <v>34</v>
      </c>
      <c r="M172" s="42" t="s">
        <v>34</v>
      </c>
      <c r="N172" s="42" t="s">
        <v>34</v>
      </c>
      <c r="O172" s="42" t="s">
        <v>34</v>
      </c>
      <c r="P172" s="42" t="s">
        <v>34</v>
      </c>
      <c r="Q172" s="42" t="s">
        <v>34</v>
      </c>
      <c r="R172" s="2"/>
      <c r="S172" s="28"/>
      <c r="T172" s="28"/>
    </row>
    <row r="173" spans="1:20" s="1" customFormat="1" x14ac:dyDescent="0.3">
      <c r="D173" s="2"/>
      <c r="E173" s="5" t="s">
        <v>19</v>
      </c>
      <c r="F173" s="8">
        <f>SUM(F174:F175)</f>
        <v>0</v>
      </c>
      <c r="G173" s="8">
        <f>SUM(G174:G175)</f>
        <v>0</v>
      </c>
      <c r="H173" s="8">
        <f>SUM(H174:H175)</f>
        <v>0</v>
      </c>
      <c r="I173" s="8">
        <f>SUM(I174:I175)</f>
        <v>0</v>
      </c>
      <c r="J173" s="8">
        <f>SUM(J174:J175)</f>
        <v>0</v>
      </c>
      <c r="K173" s="8">
        <f>SUM(K174:K175)</f>
        <v>0</v>
      </c>
      <c r="L173" s="8">
        <f>SUM(L174:L175)</f>
        <v>122</v>
      </c>
      <c r="M173" s="8">
        <f>SUM(M174:M175)</f>
        <v>236</v>
      </c>
      <c r="N173" s="8">
        <f>SUM(N174:N175)</f>
        <v>243</v>
      </c>
      <c r="O173" s="8">
        <f>SUM(O174:O175)</f>
        <v>253</v>
      </c>
      <c r="P173" s="8">
        <f>SUM(P174:P175)</f>
        <v>256</v>
      </c>
      <c r="Q173" s="8">
        <f>SUM(Q174:Q175)</f>
        <v>269</v>
      </c>
      <c r="R173" s="2"/>
      <c r="S173" s="28"/>
      <c r="T173" s="28"/>
    </row>
    <row r="174" spans="1:20" s="1" customFormat="1" x14ac:dyDescent="0.3">
      <c r="D174" s="2"/>
      <c r="E174" s="14" t="s">
        <v>41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2"/>
      <c r="S174" s="28"/>
      <c r="T174" s="28"/>
    </row>
    <row r="175" spans="1:20" s="1" customFormat="1" x14ac:dyDescent="0.3">
      <c r="D175" s="2"/>
      <c r="E175" s="14" t="s">
        <v>40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">
        <v>0</v>
      </c>
      <c r="L175" s="8">
        <v>122</v>
      </c>
      <c r="M175" s="8">
        <v>236</v>
      </c>
      <c r="N175" s="8">
        <v>243</v>
      </c>
      <c r="O175" s="8">
        <v>253</v>
      </c>
      <c r="P175" s="8">
        <v>256</v>
      </c>
      <c r="Q175" s="8">
        <v>269</v>
      </c>
      <c r="R175" s="2"/>
      <c r="S175" s="28"/>
      <c r="T175" s="28"/>
    </row>
    <row r="176" spans="1:20" s="1" customFormat="1" x14ac:dyDescent="0.3">
      <c r="D176" s="2"/>
      <c r="E176" s="5" t="s">
        <v>39</v>
      </c>
      <c r="F176" s="8">
        <f>SUM(F179:F183)</f>
        <v>0</v>
      </c>
      <c r="G176" s="8">
        <f>SUM(G179:G183)</f>
        <v>0</v>
      </c>
      <c r="H176" s="8">
        <f>SUM(H179:H183)</f>
        <v>0</v>
      </c>
      <c r="I176" s="8">
        <f>SUM(I179:I183)</f>
        <v>0</v>
      </c>
      <c r="J176" s="8">
        <f>SUM(J179:J183)</f>
        <v>0</v>
      </c>
      <c r="K176" s="8">
        <f>SUM(K179:K183)</f>
        <v>0</v>
      </c>
      <c r="L176" s="8">
        <f>SUM(L179:L183)</f>
        <v>1</v>
      </c>
      <c r="M176" s="8">
        <f>SUM(M179:M183)</f>
        <v>0</v>
      </c>
      <c r="N176" s="8">
        <f>SUM(N179:N183)</f>
        <v>6</v>
      </c>
      <c r="O176" s="8">
        <f>SUM(O179:O183)</f>
        <v>2</v>
      </c>
      <c r="P176" s="8">
        <f>SUM(P179:P183)</f>
        <v>5</v>
      </c>
      <c r="Q176" s="8">
        <f>SUM(Q179:Q183)</f>
        <v>8</v>
      </c>
      <c r="R176" s="2"/>
      <c r="S176" s="28"/>
      <c r="T176" s="28"/>
    </row>
    <row r="177" spans="1:20" s="1" customFormat="1" x14ac:dyDescent="0.3">
      <c r="D177" s="2"/>
      <c r="E177" s="5" t="s">
        <v>15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8">
        <v>0</v>
      </c>
      <c r="L177" s="8">
        <v>3</v>
      </c>
      <c r="M177" s="8">
        <v>0</v>
      </c>
      <c r="N177" s="8">
        <v>0</v>
      </c>
      <c r="O177" s="8">
        <v>0</v>
      </c>
      <c r="P177" s="8">
        <v>2</v>
      </c>
      <c r="Q177" s="8">
        <v>1</v>
      </c>
      <c r="R177" s="2"/>
      <c r="S177" s="28"/>
      <c r="T177" s="28"/>
    </row>
    <row r="178" spans="1:20" s="1" customFormat="1" x14ac:dyDescent="0.3">
      <c r="D178" s="2"/>
      <c r="E178" s="5" t="s">
        <v>14</v>
      </c>
      <c r="F178" s="10">
        <v>0</v>
      </c>
      <c r="G178" s="10">
        <f>IFERROR(G176/F173,0)</f>
        <v>0</v>
      </c>
      <c r="H178" s="10">
        <f>IFERROR(H176/G173,0)</f>
        <v>0</v>
      </c>
      <c r="I178" s="10">
        <f>IFERROR(I176/H173,0)</f>
        <v>0</v>
      </c>
      <c r="J178" s="10">
        <f>IFERROR(J176/I173,0)</f>
        <v>0</v>
      </c>
      <c r="K178" s="10">
        <f>IFERROR(K176/J173,0)</f>
        <v>0</v>
      </c>
      <c r="L178" s="10">
        <f>IFERROR(L176/K173,0)</f>
        <v>0</v>
      </c>
      <c r="M178" s="10">
        <f>IFERROR(M176/L173,0)</f>
        <v>0</v>
      </c>
      <c r="N178" s="10">
        <f>IFERROR(N176/M173,0)</f>
        <v>2.5423728813559324E-2</v>
      </c>
      <c r="O178" s="10">
        <f>IFERROR(O176/N173,0)</f>
        <v>8.23045267489712E-3</v>
      </c>
      <c r="P178" s="10">
        <f>IFERROR(P176/O173,0)</f>
        <v>1.9762845849802372E-2</v>
      </c>
      <c r="Q178" s="10">
        <f>IFERROR(Q176/P173,0)</f>
        <v>3.125E-2</v>
      </c>
      <c r="R178" s="2"/>
      <c r="S178" s="28"/>
      <c r="T178" s="28"/>
    </row>
    <row r="179" spans="1:20" s="1" customFormat="1" x14ac:dyDescent="0.3">
      <c r="D179" s="2"/>
      <c r="E179" s="5" t="s">
        <v>13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8">
        <v>0</v>
      </c>
      <c r="L179" s="8">
        <v>0</v>
      </c>
      <c r="M179" s="8">
        <v>0</v>
      </c>
      <c r="N179" s="8">
        <v>0</v>
      </c>
      <c r="O179" s="8">
        <v>0</v>
      </c>
      <c r="P179" s="8">
        <v>0</v>
      </c>
      <c r="Q179" s="8">
        <v>1</v>
      </c>
      <c r="R179" s="2"/>
      <c r="S179" s="28"/>
      <c r="T179" s="28"/>
    </row>
    <row r="180" spans="1:20" s="1" customFormat="1" x14ac:dyDescent="0.3">
      <c r="D180" s="2"/>
      <c r="E180" s="5" t="s">
        <v>12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8">
        <v>1</v>
      </c>
      <c r="M180" s="8">
        <v>0</v>
      </c>
      <c r="N180" s="8">
        <v>6</v>
      </c>
      <c r="O180" s="8">
        <v>2</v>
      </c>
      <c r="P180" s="8">
        <v>0</v>
      </c>
      <c r="Q180" s="8">
        <v>0</v>
      </c>
      <c r="R180" s="2"/>
      <c r="S180" s="28"/>
      <c r="T180" s="28"/>
    </row>
    <row r="181" spans="1:20" s="1" customFormat="1" x14ac:dyDescent="0.3">
      <c r="D181" s="2"/>
      <c r="E181" s="5" t="s">
        <v>11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2"/>
      <c r="S181" s="28"/>
      <c r="T181" s="28"/>
    </row>
    <row r="182" spans="1:20" s="1" customFormat="1" x14ac:dyDescent="0.3">
      <c r="D182" s="2"/>
      <c r="E182" s="5" t="s">
        <v>50</v>
      </c>
      <c r="F182" s="42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42">
        <v>0</v>
      </c>
      <c r="M182" s="42">
        <v>0</v>
      </c>
      <c r="N182" s="42">
        <v>0</v>
      </c>
      <c r="O182" s="42">
        <v>0</v>
      </c>
      <c r="P182" s="42">
        <v>0</v>
      </c>
      <c r="Q182" s="42">
        <v>0</v>
      </c>
      <c r="R182" s="2"/>
      <c r="S182" s="28"/>
      <c r="T182" s="28"/>
    </row>
    <row r="183" spans="1:20" s="1" customFormat="1" x14ac:dyDescent="0.3">
      <c r="D183" s="2"/>
      <c r="E183" s="5" t="s">
        <v>46</v>
      </c>
      <c r="F183" s="42">
        <v>0</v>
      </c>
      <c r="G183" s="8">
        <v>0</v>
      </c>
      <c r="H183" s="8">
        <v>0</v>
      </c>
      <c r="I183" s="8">
        <v>0</v>
      </c>
      <c r="J183" s="8">
        <v>0</v>
      </c>
      <c r="K183" s="8">
        <v>0</v>
      </c>
      <c r="L183" s="42">
        <v>0</v>
      </c>
      <c r="M183" s="42">
        <v>0</v>
      </c>
      <c r="N183" s="42">
        <v>0</v>
      </c>
      <c r="O183" s="42">
        <v>0</v>
      </c>
      <c r="P183" s="42">
        <v>5</v>
      </c>
      <c r="Q183" s="42">
        <v>7</v>
      </c>
      <c r="R183" s="2"/>
      <c r="S183" s="28"/>
      <c r="T183" s="28"/>
    </row>
    <row r="184" spans="1:20" s="1" customFormat="1" x14ac:dyDescent="0.3">
      <c r="D184" s="2"/>
      <c r="E184" s="5" t="s">
        <v>6</v>
      </c>
      <c r="F184" s="23">
        <v>0</v>
      </c>
      <c r="G184" s="23">
        <v>0</v>
      </c>
      <c r="H184" s="23">
        <v>0</v>
      </c>
      <c r="I184" s="23">
        <v>0</v>
      </c>
      <c r="J184" s="23">
        <v>0</v>
      </c>
      <c r="K184" s="23">
        <v>0</v>
      </c>
      <c r="L184" s="23">
        <v>103371.83000000002</v>
      </c>
      <c r="M184" s="23">
        <v>211638.54000000012</v>
      </c>
      <c r="N184" s="23">
        <v>223237.08999999997</v>
      </c>
      <c r="O184" s="23">
        <v>229751.88000000006</v>
      </c>
      <c r="P184" s="23">
        <v>237365.82000000007</v>
      </c>
      <c r="Q184" s="23">
        <v>241841.1100000001</v>
      </c>
      <c r="R184" s="2"/>
      <c r="S184" s="28"/>
      <c r="T184" s="28"/>
    </row>
    <row r="185" spans="1:20" s="1" customFormat="1" x14ac:dyDescent="0.3">
      <c r="D185" s="2"/>
      <c r="E185" s="5" t="s">
        <v>5</v>
      </c>
      <c r="F185" s="23">
        <v>0</v>
      </c>
      <c r="G185" s="23">
        <v>0</v>
      </c>
      <c r="H185" s="23">
        <v>0</v>
      </c>
      <c r="I185" s="23">
        <v>0</v>
      </c>
      <c r="J185" s="23">
        <v>0</v>
      </c>
      <c r="K185" s="23">
        <v>0</v>
      </c>
      <c r="L185" s="23">
        <v>103371.83000000002</v>
      </c>
      <c r="M185" s="23">
        <v>211638.54000000012</v>
      </c>
      <c r="N185" s="23">
        <v>223125.78999999998</v>
      </c>
      <c r="O185" s="23">
        <v>229751.88000000006</v>
      </c>
      <c r="P185" s="23">
        <v>236657.72000000006</v>
      </c>
      <c r="Q185" s="23">
        <v>241133.0100000001</v>
      </c>
      <c r="R185" s="2"/>
      <c r="S185" s="28"/>
      <c r="T185" s="28"/>
    </row>
    <row r="186" spans="1:20" s="1" customFormat="1" x14ac:dyDescent="0.3">
      <c r="D186" s="2"/>
      <c r="E186" s="5" t="s">
        <v>49</v>
      </c>
      <c r="F186" s="10">
        <f>IFERROR((1-F185/F184),0)</f>
        <v>0</v>
      </c>
      <c r="G186" s="10">
        <f>IFERROR((1-G185/G184),0)</f>
        <v>0</v>
      </c>
      <c r="H186" s="10">
        <f>IFERROR((1-H185/H184),0)</f>
        <v>0</v>
      </c>
      <c r="I186" s="10">
        <f>IFERROR((1-I185/I184),0)</f>
        <v>0</v>
      </c>
      <c r="J186" s="10">
        <f>IFERROR((1-J185/J184),0)</f>
        <v>0</v>
      </c>
      <c r="K186" s="10">
        <f>IFERROR((1-K185/K184),0)</f>
        <v>0</v>
      </c>
      <c r="L186" s="10">
        <f>IFERROR((1-L185/L184),0)</f>
        <v>0</v>
      </c>
      <c r="M186" s="10">
        <f>IFERROR((1-M185/M184),0)</f>
        <v>0</v>
      </c>
      <c r="N186" s="10">
        <f>IFERROR((1-N185/N184),0)</f>
        <v>4.9857306418032987E-4</v>
      </c>
      <c r="O186" s="10">
        <f>IFERROR((1-O185/O184),0)</f>
        <v>0</v>
      </c>
      <c r="P186" s="10">
        <f>IFERROR((1-P185/P184),0)</f>
        <v>2.9831590748828907E-3</v>
      </c>
      <c r="Q186" s="10">
        <f>IFERROR((1-Q185/Q184),0)</f>
        <v>2.9279554662977603E-3</v>
      </c>
      <c r="R186" s="2"/>
      <c r="S186" s="28"/>
      <c r="T186" s="28"/>
    </row>
    <row r="187" spans="1:20" s="1" customFormat="1" x14ac:dyDescent="0.3">
      <c r="D187" s="2"/>
      <c r="E187" s="5" t="s">
        <v>3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122</v>
      </c>
      <c r="M187" s="8">
        <v>114</v>
      </c>
      <c r="N187" s="8">
        <v>14</v>
      </c>
      <c r="O187" s="8">
        <v>10</v>
      </c>
      <c r="P187" s="8">
        <v>8</v>
      </c>
      <c r="Q187" s="8">
        <v>17</v>
      </c>
      <c r="R187" s="2"/>
      <c r="S187" s="28"/>
      <c r="T187" s="28"/>
    </row>
    <row r="188" spans="1:20" s="1" customFormat="1" x14ac:dyDescent="0.3">
      <c r="D188" s="2"/>
      <c r="E188" s="5" t="s">
        <v>2</v>
      </c>
      <c r="F188" s="24">
        <f>IFERROR(F184/F173,0)</f>
        <v>0</v>
      </c>
      <c r="G188" s="24">
        <f>IFERROR(G184/G173,0)</f>
        <v>0</v>
      </c>
      <c r="H188" s="24">
        <f>IFERROR(H184/H173,0)</f>
        <v>0</v>
      </c>
      <c r="I188" s="24">
        <f>IFERROR(I184/I173,0)</f>
        <v>0</v>
      </c>
      <c r="J188" s="24">
        <f>IFERROR(J184/J173,0)</f>
        <v>0</v>
      </c>
      <c r="K188" s="24">
        <f>IFERROR(K184/K173,0)</f>
        <v>0</v>
      </c>
      <c r="L188" s="24">
        <f>IFERROR(L184/L173,0)</f>
        <v>847.31008196721325</v>
      </c>
      <c r="M188" s="24">
        <f>IFERROR(M184/M173,0)</f>
        <v>896.77347457627172</v>
      </c>
      <c r="N188" s="24">
        <f>IFERROR(N184/N173,0)</f>
        <v>918.67115226337432</v>
      </c>
      <c r="O188" s="24">
        <f>IFERROR(O184/O173,0)</f>
        <v>908.11019762845876</v>
      </c>
      <c r="P188" s="24">
        <f>IFERROR(P184/P173,0)</f>
        <v>927.21023437500025</v>
      </c>
      <c r="Q188" s="24">
        <f>IFERROR(Q184/Q173,0)</f>
        <v>899.03758364312307</v>
      </c>
      <c r="R188" s="2"/>
      <c r="S188" s="28"/>
      <c r="T188" s="28"/>
    </row>
    <row r="189" spans="1:20" s="1" customFormat="1" x14ac:dyDescent="0.3">
      <c r="D189" s="2"/>
      <c r="E189" s="5" t="s">
        <v>1</v>
      </c>
      <c r="F189" s="56">
        <v>0</v>
      </c>
      <c r="G189" s="56">
        <v>0</v>
      </c>
      <c r="H189" s="56">
        <v>0</v>
      </c>
      <c r="I189" s="56">
        <v>0</v>
      </c>
      <c r="J189" s="56">
        <v>0</v>
      </c>
      <c r="K189" s="56">
        <v>0</v>
      </c>
      <c r="L189" s="56">
        <v>0</v>
      </c>
      <c r="M189" s="56">
        <v>0</v>
      </c>
      <c r="N189" s="56">
        <v>0</v>
      </c>
      <c r="O189" s="56">
        <v>0</v>
      </c>
      <c r="P189" s="56">
        <v>0</v>
      </c>
      <c r="Q189" s="56">
        <v>0</v>
      </c>
      <c r="R189" s="2"/>
      <c r="S189" s="28"/>
      <c r="T189" s="28"/>
    </row>
    <row r="190" spans="1:20" s="1" customFormat="1" x14ac:dyDescent="0.3">
      <c r="D190" s="2"/>
      <c r="E190" s="5" t="s">
        <v>0</v>
      </c>
      <c r="F190" s="56">
        <v>0</v>
      </c>
      <c r="G190" s="56">
        <v>0</v>
      </c>
      <c r="H190" s="56">
        <v>0</v>
      </c>
      <c r="I190" s="56">
        <v>0</v>
      </c>
      <c r="J190" s="56">
        <v>0</v>
      </c>
      <c r="K190" s="56">
        <v>0</v>
      </c>
      <c r="L190" s="56">
        <v>0</v>
      </c>
      <c r="M190" s="56">
        <v>0</v>
      </c>
      <c r="N190" s="56">
        <v>0</v>
      </c>
      <c r="O190" s="56">
        <v>0</v>
      </c>
      <c r="P190" s="56">
        <v>0</v>
      </c>
      <c r="Q190" s="56">
        <v>0</v>
      </c>
      <c r="R190" s="2"/>
      <c r="S190" s="28"/>
      <c r="T190" s="28"/>
    </row>
    <row r="191" spans="1:20" s="1" customFormat="1" hidden="1" x14ac:dyDescent="0.3">
      <c r="A191" s="2"/>
      <c r="B191" s="2"/>
      <c r="C191" s="2"/>
      <c r="D191" s="2"/>
      <c r="E191" s="2"/>
      <c r="F191" s="55"/>
      <c r="G191" s="55"/>
      <c r="H191" s="55"/>
      <c r="I191" s="61"/>
      <c r="J191" s="55"/>
      <c r="K191" s="60"/>
      <c r="L191" s="29"/>
      <c r="M191" s="29"/>
      <c r="N191" s="29"/>
      <c r="O191" s="29"/>
      <c r="P191" s="29"/>
      <c r="Q191" s="29"/>
      <c r="R191" s="2"/>
      <c r="S191" s="28"/>
      <c r="T191" s="28"/>
    </row>
    <row r="192" spans="1:20" s="1" customFormat="1" ht="3" hidden="1" customHeight="1" x14ac:dyDescent="0.3">
      <c r="A192" s="2"/>
      <c r="B192" s="2"/>
      <c r="C192" s="2"/>
      <c r="D192" s="2"/>
      <c r="E192" s="2"/>
      <c r="F192" s="55">
        <v>344326</v>
      </c>
      <c r="G192" s="55">
        <f>F197-G200+G213</f>
        <v>1628</v>
      </c>
      <c r="H192" s="55">
        <f>G197-H200+H213</f>
        <v>338</v>
      </c>
      <c r="I192" s="55">
        <f>H197-I200+I213</f>
        <v>1396</v>
      </c>
      <c r="J192" s="55">
        <f>I197-J200+J213</f>
        <v>1819</v>
      </c>
      <c r="K192" s="55">
        <f>J197-K200+K213</f>
        <v>1833</v>
      </c>
      <c r="L192" s="55">
        <f>K197-L200+L213</f>
        <v>1335</v>
      </c>
      <c r="M192" s="55">
        <f>L197-M200+M213</f>
        <v>1590</v>
      </c>
      <c r="N192" s="55">
        <f>M197-N200+N213</f>
        <v>1599</v>
      </c>
      <c r="O192" s="55">
        <f>N197-O200+O213</f>
        <v>1403</v>
      </c>
      <c r="P192" s="55">
        <f>O197-P200+P213</f>
        <v>1341</v>
      </c>
      <c r="Q192" s="29"/>
      <c r="R192" s="2"/>
      <c r="S192" s="28"/>
      <c r="T192" s="28"/>
    </row>
    <row r="193" spans="1:20" s="1" customFormat="1" ht="3.6" customHeight="1" x14ac:dyDescent="0.3">
      <c r="A193" s="2"/>
      <c r="B193" s="2"/>
      <c r="C193" s="2"/>
      <c r="D193" s="2"/>
      <c r="E193" s="2"/>
      <c r="F193" s="55">
        <f>F197-F192</f>
        <v>-342357</v>
      </c>
      <c r="G193" s="55">
        <f>G197-G192</f>
        <v>527</v>
      </c>
      <c r="H193" s="55">
        <f>H197-H192</f>
        <v>1843</v>
      </c>
      <c r="I193" s="55">
        <f>I197-I192</f>
        <v>779</v>
      </c>
      <c r="J193" s="55">
        <f>J197-J192</f>
        <v>362</v>
      </c>
      <c r="K193" s="55">
        <f>K197-K192</f>
        <v>289</v>
      </c>
      <c r="L193" s="55">
        <f>L197-L192</f>
        <v>622</v>
      </c>
      <c r="M193" s="55">
        <f>M197-M192</f>
        <v>206</v>
      </c>
      <c r="N193" s="55">
        <f>N197-N192</f>
        <v>139</v>
      </c>
      <c r="O193" s="55">
        <f>O197-O192</f>
        <v>260</v>
      </c>
      <c r="P193" s="55">
        <f>P197-P192</f>
        <v>257</v>
      </c>
      <c r="Q193" s="29"/>
      <c r="R193" s="2"/>
      <c r="S193" s="28"/>
      <c r="T193" s="28"/>
    </row>
    <row r="194" spans="1:20" s="1" customFormat="1" x14ac:dyDescent="0.3">
      <c r="D194" s="2"/>
      <c r="E194" s="54" t="s">
        <v>33</v>
      </c>
      <c r="F194" s="54" t="s">
        <v>32</v>
      </c>
      <c r="G194" s="54" t="s">
        <v>31</v>
      </c>
      <c r="H194" s="54" t="s">
        <v>30</v>
      </c>
      <c r="I194" s="54" t="s">
        <v>29</v>
      </c>
      <c r="J194" s="54" t="s">
        <v>28</v>
      </c>
      <c r="K194" s="54" t="s">
        <v>27</v>
      </c>
      <c r="L194" s="54" t="s">
        <v>26</v>
      </c>
      <c r="M194" s="54" t="s">
        <v>25</v>
      </c>
      <c r="N194" s="54" t="s">
        <v>24</v>
      </c>
      <c r="O194" s="54" t="s">
        <v>23</v>
      </c>
      <c r="P194" s="54" t="s">
        <v>22</v>
      </c>
      <c r="Q194" s="54" t="s">
        <v>21</v>
      </c>
      <c r="R194" s="2"/>
      <c r="S194" s="28"/>
      <c r="T194" s="28"/>
    </row>
    <row r="195" spans="1:20" s="1" customFormat="1" x14ac:dyDescent="0.3">
      <c r="D195" s="2"/>
      <c r="E195" s="5" t="s">
        <v>20</v>
      </c>
      <c r="F195" s="8">
        <f>SUM(F127,F104,F81,F36,F13,F150)</f>
        <v>52470.003136284533</v>
      </c>
      <c r="G195" s="8">
        <f>SUM(G127,G104,G81,G36,G13,G150)</f>
        <v>53048.003136284533</v>
      </c>
      <c r="H195" s="8">
        <f>SUM(H127,H104,H81,H36,H13,H150)</f>
        <v>54067.187569448666</v>
      </c>
      <c r="I195" s="8">
        <f>SUM(I219,I127,I104,I81,I36,I13)</f>
        <v>54879.187569448666</v>
      </c>
      <c r="J195" s="8">
        <f>SUM(J219,J127,J104,J81,J36,J13)</f>
        <v>55696.018353765809</v>
      </c>
      <c r="K195" s="8">
        <f>SUM(K219,K127,K104,K81,K36,K13)</f>
        <v>56431.981941614744</v>
      </c>
      <c r="L195" s="8">
        <f>SUM(L127,L104,L81,L36,L13,L150,L58,L172)</f>
        <v>56884.885682284475</v>
      </c>
      <c r="M195" s="8">
        <f>SUM(M219,M127,M104,M81,M36,M13)</f>
        <v>58660.377852306847</v>
      </c>
      <c r="N195" s="8">
        <f>SUM(N219,N127,N104,N81,N36,N13)</f>
        <v>60084.225193945727</v>
      </c>
      <c r="O195" s="8">
        <f>SUM(O219,O127,O104,O81,O36,O13)</f>
        <v>61221.403320678612</v>
      </c>
      <c r="P195" s="8">
        <f>SUM(P219,P127,P104,P81,P36,P13)</f>
        <v>62739.471742822512</v>
      </c>
      <c r="Q195" s="8">
        <f>SUM(Q219,Q127,Q104,Q81,Q36,Q13)</f>
        <v>63991.602194373059</v>
      </c>
      <c r="R195" s="2"/>
      <c r="S195" s="28"/>
      <c r="T195" s="28"/>
    </row>
    <row r="196" spans="1:20" s="1" customFormat="1" x14ac:dyDescent="0.3">
      <c r="D196" s="2"/>
      <c r="E196" s="5" t="s">
        <v>19</v>
      </c>
      <c r="F196" s="8">
        <f>SUM(F128,F105,F82,F37,F14,F151,F59)</f>
        <v>50567</v>
      </c>
      <c r="G196" s="8">
        <f>SUM(G128,G105,G82,G37,G14,G151,G59)</f>
        <v>50008</v>
      </c>
      <c r="H196" s="8">
        <f>SUM(H128,H105,H82,H37,H14,H151,H59)</f>
        <v>48836</v>
      </c>
      <c r="I196" s="8">
        <f>SUM(I128,I105,I82,I37,I14,I151,I59)</f>
        <v>48102</v>
      </c>
      <c r="J196" s="8">
        <f>SUM(J128,J105,J82,J37,J14,J151,J59)</f>
        <v>47271</v>
      </c>
      <c r="K196" s="8">
        <f>SUM(K128,K105,K82,K37,K14,K151,K59)</f>
        <v>45561</v>
      </c>
      <c r="L196" s="8">
        <f>SUM(L128,L105,L82,L37,L14,L151,L59,L173)</f>
        <v>43213</v>
      </c>
      <c r="M196" s="8">
        <f>SUM(M128,M105,M82,M37,M14,M151,M59,M173)</f>
        <v>41791</v>
      </c>
      <c r="N196" s="8">
        <f>SUM(N128,N105,N82,N37,N14,N151,N59,N173)</f>
        <v>40212</v>
      </c>
      <c r="O196" s="8">
        <f>SUM(O128,O105,O82,O37,O14,O151,O59,O173)</f>
        <v>38474</v>
      </c>
      <c r="P196" s="8">
        <f>SUM(P128,P105,P82,P37,P14,P151,P59,P173)</f>
        <v>36707</v>
      </c>
      <c r="Q196" s="8">
        <f>SUM(Q128,Q105,Q82,Q37,Q14,Q151,Q59,Q173)</f>
        <v>35596</v>
      </c>
      <c r="R196" s="2"/>
      <c r="S196" s="28"/>
      <c r="T196" s="28"/>
    </row>
    <row r="197" spans="1:20" s="1" customFormat="1" x14ac:dyDescent="0.3">
      <c r="D197" s="2"/>
      <c r="E197" s="14" t="s">
        <v>41</v>
      </c>
      <c r="F197" s="8">
        <f>SUM(F129,F106,F83,F38,F15,F152,F60,F174)</f>
        <v>1969</v>
      </c>
      <c r="G197" s="8">
        <f>SUM(G129,G106,G83,G38,G15,G152,G60,G174)</f>
        <v>2155</v>
      </c>
      <c r="H197" s="8">
        <f>SUM(H129,H106,H83,H38,H15,H152,H60,H174)</f>
        <v>2181</v>
      </c>
      <c r="I197" s="8">
        <f>SUM(I129,I106,I83,I38,I15,I152,I60,I174)</f>
        <v>2175</v>
      </c>
      <c r="J197" s="8">
        <f>SUM(J129,J106,J83,J38,J15,J152,J60,J174)</f>
        <v>2181</v>
      </c>
      <c r="K197" s="8">
        <f>SUM(K129,K106,K83,K38,K15,K152,K60,K174)</f>
        <v>2122</v>
      </c>
      <c r="L197" s="8">
        <f>SUM(L129,L106,L83,L38,L15,L152,L60,L174)</f>
        <v>1957</v>
      </c>
      <c r="M197" s="8">
        <f>SUM(M129,M106,M83,M38,M15,M152,M60,M174)</f>
        <v>1796</v>
      </c>
      <c r="N197" s="8">
        <f>SUM(N129,N106,N83,N38,N15,N152,N60,N174)</f>
        <v>1738</v>
      </c>
      <c r="O197" s="8">
        <f>SUM(O129,O106,O83,O38,O15,O152,O60,O174)</f>
        <v>1663</v>
      </c>
      <c r="P197" s="8">
        <f>SUM(P129,P106,P83,P38,P15,P152,P60,P174)</f>
        <v>1598</v>
      </c>
      <c r="Q197" s="8">
        <f>SUM(Q129,Q106,Q83,Q38,Q15,Q152,Q60,Q174)</f>
        <v>1580</v>
      </c>
      <c r="R197" s="2"/>
      <c r="S197" s="28"/>
      <c r="T197" s="28"/>
    </row>
    <row r="198" spans="1:20" s="1" customFormat="1" x14ac:dyDescent="0.3">
      <c r="D198" s="2"/>
      <c r="E198" s="14" t="s">
        <v>40</v>
      </c>
      <c r="F198" s="8">
        <f>SUM(F130,F107,F84,F39,F16,F153,F61,F175)</f>
        <v>48598</v>
      </c>
      <c r="G198" s="8">
        <f>SUM(G130,G107,G84,G39,G16,G153,G61,G175)</f>
        <v>47853</v>
      </c>
      <c r="H198" s="8">
        <f>SUM(H130,H107,H84,H39,H16,H153,H61,H175)</f>
        <v>46655</v>
      </c>
      <c r="I198" s="8">
        <f>SUM(I130,I107,I84,I39,I16,I153,I61,I175)</f>
        <v>45927</v>
      </c>
      <c r="J198" s="8">
        <f>SUM(J130,J107,J84,J39,J16,J153,J61,J175)</f>
        <v>45090</v>
      </c>
      <c r="K198" s="8">
        <f>SUM(K130,K107,K84,K39,K16,K153,K61,K175)</f>
        <v>43439</v>
      </c>
      <c r="L198" s="8">
        <f>SUM(L130,L107,L84,L39,L16,L153,L61,L175)</f>
        <v>41256</v>
      </c>
      <c r="M198" s="8">
        <f>SUM(M130,M107,M84,M39,M16,M153,M61,M175)</f>
        <v>39995</v>
      </c>
      <c r="N198" s="8">
        <f>SUM(N130,N107,N84,N39,N16,N153,N61,N175)</f>
        <v>38474</v>
      </c>
      <c r="O198" s="8">
        <f>SUM(O130,O107,O84,O39,O16,O153,O61,O175)</f>
        <v>36811</v>
      </c>
      <c r="P198" s="8">
        <f>SUM(P130,P107,P84,P39,P16,P153,P61,P175)</f>
        <v>35109</v>
      </c>
      <c r="Q198" s="8">
        <f>SUM(Q130,Q107,Q84,Q39,Q16,Q153,Q61,Q175)</f>
        <v>34016</v>
      </c>
      <c r="R198" s="2"/>
      <c r="S198" s="28"/>
      <c r="T198" s="28"/>
    </row>
    <row r="199" spans="1:20" s="1" customFormat="1" x14ac:dyDescent="0.3">
      <c r="D199" s="2"/>
      <c r="E199" s="5" t="s">
        <v>39</v>
      </c>
      <c r="F199" s="8">
        <f>SUM(F131,F108,F85,F40,F17,F154,F62,F176)</f>
        <v>2417</v>
      </c>
      <c r="G199" s="8">
        <f>SUM(G131,G108,G85,G40,G17,G154,G62,G176)</f>
        <v>2200</v>
      </c>
      <c r="H199" s="8">
        <f>SUM(H131,H108,H85,H40,H17,H154,H62,H176)</f>
        <v>2574</v>
      </c>
      <c r="I199" s="8">
        <f>SUM(I131,I108,I85,I40,I17,I154,I62,I176)</f>
        <v>2156</v>
      </c>
      <c r="J199" s="8">
        <f>SUM(J131,J108,J85,J40,J17,J154,J62,J176)</f>
        <v>2046</v>
      </c>
      <c r="K199" s="8">
        <f>SUM(K131,K108,K85,K40,K17,K154,K62,K176)</f>
        <v>2903</v>
      </c>
      <c r="L199" s="8">
        <f>SUM(L131,L108,L85,L40,L17,L154,L62,L176)</f>
        <v>4212</v>
      </c>
      <c r="M199" s="8">
        <f>SUM(M131,M108,M85,M40,M17,M154,M62,M176)</f>
        <v>3232</v>
      </c>
      <c r="N199" s="8">
        <f>SUM(N131,N108,N85,N40,N17,N154,N62,N176)</f>
        <v>2859</v>
      </c>
      <c r="O199" s="8">
        <f>SUM(O131,O108,O85,O40,O17,O154,O62,O176)</f>
        <v>2699</v>
      </c>
      <c r="P199" s="8">
        <f>SUM(P131,P108,P85,P40,P17,P154,P62,P176)</f>
        <v>2477</v>
      </c>
      <c r="Q199" s="8">
        <f>SUM(Q131,Q108,Q85,Q40,Q17,Q154,Q62,Q176)</f>
        <v>1845</v>
      </c>
      <c r="R199" s="2"/>
      <c r="S199" s="28"/>
      <c r="T199" s="28"/>
    </row>
    <row r="200" spans="1:20" s="1" customFormat="1" x14ac:dyDescent="0.3">
      <c r="D200" s="2"/>
      <c r="E200" s="5" t="s">
        <v>15</v>
      </c>
      <c r="F200" s="8">
        <f>SUM(F132,F109,F86,F41,F18,F155,F63,F177)</f>
        <v>627</v>
      </c>
      <c r="G200" s="8">
        <f>SUM(G132,G109,G86,G41,G18,G155,G63,G177)</f>
        <v>341</v>
      </c>
      <c r="H200" s="8">
        <f>SUM(H132,H109,H86,H41,H18,H155,H63,H177)</f>
        <v>1817</v>
      </c>
      <c r="I200" s="8">
        <f>SUM(I132,I109,I86,I41,I18,I155,I63,I177)</f>
        <v>785</v>
      </c>
      <c r="J200" s="8">
        <f>SUM(J132,J109,J86,J41,J18,J155,J63,J177)</f>
        <v>356</v>
      </c>
      <c r="K200" s="8">
        <f>SUM(K132,K109,K86,K41,K18,K155,K63,K177)</f>
        <v>348</v>
      </c>
      <c r="L200" s="8">
        <f>SUM(L132,L109,L86,L41,L18,L155,L63,L177)</f>
        <v>787</v>
      </c>
      <c r="M200" s="8">
        <f>SUM(M132,M109,M86,M41,M18,M155,M63,M177)</f>
        <v>367</v>
      </c>
      <c r="N200" s="8">
        <f>SUM(N132,N109,N86,N41,N18,N155,N63,N177)</f>
        <v>197</v>
      </c>
      <c r="O200" s="8">
        <f>SUM(O132,O109,O86,O41,O18,O155,O63,O177)</f>
        <v>335</v>
      </c>
      <c r="P200" s="8">
        <f>SUM(P132,P109,P86,P41,P18,P155,P63,P177)</f>
        <v>322</v>
      </c>
      <c r="Q200" s="8">
        <f>SUM(Q132,Q109,Q86,Q41,Q18,Q155,Q63,Q177)</f>
        <v>169</v>
      </c>
      <c r="R200" s="2"/>
      <c r="S200" s="28"/>
      <c r="T200" s="28"/>
    </row>
    <row r="201" spans="1:20" s="1" customFormat="1" x14ac:dyDescent="0.3">
      <c r="D201" s="2"/>
      <c r="E201" s="5" t="s">
        <v>14</v>
      </c>
      <c r="F201" s="10">
        <v>4.6971257554851625E-2</v>
      </c>
      <c r="G201" s="10">
        <f>IFERROR(G199/F196,0)</f>
        <v>4.3506634761801173E-2</v>
      </c>
      <c r="H201" s="10">
        <f>IFERROR(H199/G196,0)</f>
        <v>5.1471764517677168E-2</v>
      </c>
      <c r="I201" s="10">
        <f>IFERROR(I199/H196,0)</f>
        <v>4.4147759849291507E-2</v>
      </c>
      <c r="J201" s="10">
        <f>IFERROR(J199/I196,0)</f>
        <v>4.2534613945366097E-2</v>
      </c>
      <c r="K201" s="10">
        <f>IFERROR(K199/J196,0)</f>
        <v>6.1411859279473673E-2</v>
      </c>
      <c r="L201" s="10">
        <f>IFERROR(L199/K196,0)</f>
        <v>9.2447487983143478E-2</v>
      </c>
      <c r="M201" s="10">
        <f>IFERROR(M199/L196,0)</f>
        <v>7.4792307870316807E-2</v>
      </c>
      <c r="N201" s="10">
        <f>IFERROR(N199/M196,0)</f>
        <v>6.8411859012706092E-2</v>
      </c>
      <c r="O201" s="10">
        <f>IFERROR(O199/N196,0)</f>
        <v>6.7119267880234756E-2</v>
      </c>
      <c r="P201" s="10">
        <f>IFERROR(P199/O196,0)</f>
        <v>6.438114051047461E-2</v>
      </c>
      <c r="Q201" s="10">
        <f>IFERROR(Q199/P196,0)</f>
        <v>5.0262892636281906E-2</v>
      </c>
      <c r="R201" s="2"/>
      <c r="S201" s="28"/>
      <c r="T201" s="28"/>
    </row>
    <row r="202" spans="1:20" s="1" customFormat="1" x14ac:dyDescent="0.3">
      <c r="D202" s="2"/>
      <c r="E202" s="5" t="s">
        <v>13</v>
      </c>
      <c r="F202" s="8">
        <f>SUM(F134,F111,F88,F43,F20,F157,F65,F179)</f>
        <v>824</v>
      </c>
      <c r="G202" s="8">
        <f>SUM(G134,G111,G88,G43,G20,G157,G65,G179)</f>
        <v>744</v>
      </c>
      <c r="H202" s="8">
        <f>SUM(H134,H111,H88,H43,H20,H157,H65,H179)</f>
        <v>787</v>
      </c>
      <c r="I202" s="8">
        <f>SUM(I134,I111,I88,I43,I20,I157,I65,I179)</f>
        <v>869</v>
      </c>
      <c r="J202" s="8">
        <f>SUM(J134,J111,J88,J43,J20,J157,J65,J179)</f>
        <v>709</v>
      </c>
      <c r="K202" s="8">
        <f>SUM(K134,K111,K88,K43,K20,K157,K65,K179)</f>
        <v>694</v>
      </c>
      <c r="L202" s="8">
        <f>SUM(L134,L111,L88,L43,L20,L157,L65,L179)</f>
        <v>804</v>
      </c>
      <c r="M202" s="8">
        <f>SUM(M134,M111,M88,M43,M20,M157,M65,M179)</f>
        <v>899</v>
      </c>
      <c r="N202" s="8">
        <f>SUM(N134,N111,N88,N43,N20,N157,N65,N179)</f>
        <v>1160</v>
      </c>
      <c r="O202" s="8">
        <f>SUM(O134,O111,O88,O43,O20,O157,O65,O179)</f>
        <v>897</v>
      </c>
      <c r="P202" s="8">
        <f>SUM(P134,P111,P88,P43,P20,P157,P65,P179)</f>
        <v>991</v>
      </c>
      <c r="Q202" s="8">
        <f>SUM(Q134,Q111,Q88,Q43,Q20,Q157,Q65,Q179)</f>
        <v>666</v>
      </c>
      <c r="R202" s="2"/>
      <c r="S202" s="28"/>
      <c r="T202" s="28"/>
    </row>
    <row r="203" spans="1:20" s="1" customFormat="1" x14ac:dyDescent="0.3">
      <c r="D203" s="2"/>
      <c r="E203" s="5" t="s">
        <v>12</v>
      </c>
      <c r="F203" s="8">
        <f>SUM(F135,F112,F89,F44,F21,F158,F66,F180)</f>
        <v>1181</v>
      </c>
      <c r="G203" s="8">
        <f>SUM(G135,G112,G89,G44,G21,G158,G66,G180)</f>
        <v>1050</v>
      </c>
      <c r="H203" s="8">
        <f>SUM(H135,H112,H89,H44,H21,H158,H66,H180)</f>
        <v>1308</v>
      </c>
      <c r="I203" s="8">
        <f>SUM(I135,I112,I89,I44,I21,I158,I66,I180)</f>
        <v>951</v>
      </c>
      <c r="J203" s="8">
        <f>SUM(J135,J112,J89,J44,J21,J158,J66,J180)</f>
        <v>1017</v>
      </c>
      <c r="K203" s="8">
        <f>SUM(K135,K112,K89,K44,K21,K158,K66,K180)</f>
        <v>1591</v>
      </c>
      <c r="L203" s="8">
        <f>SUM(L135,L112,L89,L44,L21,L158,L66,L180)</f>
        <v>2598</v>
      </c>
      <c r="M203" s="8">
        <f>SUM(M135,M112,M89,M44,M21,M158,M66,M180)</f>
        <v>1767</v>
      </c>
      <c r="N203" s="8">
        <f>SUM(N135,N112,N89,N44,N21,N158,N66,N180)</f>
        <v>1288</v>
      </c>
      <c r="O203" s="8">
        <f>SUM(O135,O112,O89,O44,O21,O158,O66,O180)</f>
        <v>1367</v>
      </c>
      <c r="P203" s="8">
        <f>SUM(P135,P112,P89,P44,P21,P158,P66,P180)</f>
        <v>864</v>
      </c>
      <c r="Q203" s="8">
        <f>SUM(Q135,Q112,Q89,Q44,Q21,Q158,Q66,Q180)</f>
        <v>38</v>
      </c>
      <c r="R203" s="2"/>
      <c r="S203" s="28"/>
      <c r="T203" s="28"/>
    </row>
    <row r="204" spans="1:20" s="1" customFormat="1" x14ac:dyDescent="0.3">
      <c r="D204" s="2"/>
      <c r="E204" s="5" t="s">
        <v>11</v>
      </c>
      <c r="F204" s="8">
        <f>SUM(F136,F113,F90,F45,F22,F159,F67,F181)</f>
        <v>310</v>
      </c>
      <c r="G204" s="8">
        <f>SUM(G136,G113,G90,G45,G22,G159,G67,G181)</f>
        <v>336</v>
      </c>
      <c r="H204" s="8">
        <f>SUM(H136,H113,H90,H45,H22,H159,H67,H181)</f>
        <v>412</v>
      </c>
      <c r="I204" s="8">
        <f>SUM(I136,I113,I90,I45,I22,I159,I67,I181)</f>
        <v>311</v>
      </c>
      <c r="J204" s="8">
        <f>SUM(J136,J113,J90,J45,J22,J159,J67,J181)</f>
        <v>0</v>
      </c>
      <c r="K204" s="8">
        <f>SUM(K136,K113,K90,K45,K22,K159,K67,K181)</f>
        <v>0</v>
      </c>
      <c r="L204" s="8">
        <f>SUM(L136,L113,L90,L45,L22,L159,L67,L181)</f>
        <v>746</v>
      </c>
      <c r="M204" s="8">
        <f>SUM(M136,M113,M90,M45,M22,M159,M67,M181)</f>
        <v>0</v>
      </c>
      <c r="N204" s="8">
        <f>SUM(N136,N113,N90,N45,N22,N159,N67,N181)</f>
        <v>0</v>
      </c>
      <c r="O204" s="8">
        <f>SUM(O136,O113,O90,O45,O22,O159,O67,O181)</f>
        <v>0</v>
      </c>
      <c r="P204" s="8">
        <f>SUM(P136,P113,P90,P45,P22,P159,P67,P181)</f>
        <v>0</v>
      </c>
      <c r="Q204" s="8">
        <f>SUM(Q136,Q113,Q90,Q45,Q22,Q159,Q67,Q181)</f>
        <v>0</v>
      </c>
      <c r="R204" s="2"/>
      <c r="S204" s="28"/>
      <c r="T204" s="28"/>
    </row>
    <row r="205" spans="1:20" s="1" customFormat="1" x14ac:dyDescent="0.3">
      <c r="D205" s="2"/>
      <c r="E205" s="5" t="s">
        <v>50</v>
      </c>
      <c r="F205" s="8">
        <f>SUM(F137,F114,F91,F46,F23,F160,F68,F182)</f>
        <v>8</v>
      </c>
      <c r="G205" s="8">
        <f>SUM(G137,G114,G91,G46,G23,G160,G68,G182)</f>
        <v>9</v>
      </c>
      <c r="H205" s="8">
        <f>SUM(H137,H114,H91,H46,H23,H160,H68,H182)</f>
        <v>5</v>
      </c>
      <c r="I205" s="8">
        <f>SUM(I137,I114,I91,I46,I23,I160,I68,I182)</f>
        <v>6</v>
      </c>
      <c r="J205" s="8">
        <f>SUM(J137,J114,J91,J46,J23,J160,J68,J182)</f>
        <v>7</v>
      </c>
      <c r="K205" s="8">
        <f>SUM(K137,K114,K91,K46,K23,K160,K68,K182)</f>
        <v>6</v>
      </c>
      <c r="L205" s="8">
        <f>SUM(L137,L114,L91,L46,L23,L160,L68,L182)</f>
        <v>9</v>
      </c>
      <c r="M205" s="8">
        <f>SUM(M137,M114,M91,M46,M23,M160,M68,M182)</f>
        <v>10</v>
      </c>
      <c r="N205" s="8">
        <f>SUM(N137,N114,N91,N46,N23,N160,N68,N182)</f>
        <v>2</v>
      </c>
      <c r="O205" s="8">
        <f>SUM(O137,O114,O91,O46,O23,O160,O68,O182)</f>
        <v>6</v>
      </c>
      <c r="P205" s="8">
        <f>SUM(P137,P114,P91,P46,P23,P160,P68,P182)</f>
        <v>6</v>
      </c>
      <c r="Q205" s="8">
        <f>SUM(Q137,Q114,Q91,Q46,Q23,Q160,Q68,Q182)</f>
        <v>3</v>
      </c>
      <c r="R205" s="2"/>
      <c r="S205" s="28"/>
      <c r="T205" s="28"/>
    </row>
    <row r="206" spans="1:20" s="1" customFormat="1" x14ac:dyDescent="0.3">
      <c r="D206" s="2"/>
      <c r="E206" s="5" t="s">
        <v>46</v>
      </c>
      <c r="F206" s="8">
        <f>SUM(F138,F115,F92,F47,F24,F161,F69,F183)</f>
        <v>95</v>
      </c>
      <c r="G206" s="8">
        <f>SUM(G138,G115,G92,G47,G24,G161,G69,G183)</f>
        <v>61</v>
      </c>
      <c r="H206" s="8">
        <f>SUM(H138,H115,H92,H47,H24,H161,H69,H183)</f>
        <v>62</v>
      </c>
      <c r="I206" s="8">
        <f>SUM(I138,I115,I92,I47,I24,I161,I69,I183)</f>
        <v>19</v>
      </c>
      <c r="J206" s="8">
        <f>SUM(J138,J115,J92,J47,J24,J161,J69,J183)</f>
        <v>313</v>
      </c>
      <c r="K206" s="8">
        <f>SUM(K138,K115,K92,K47,K24,K161,K69,K183)</f>
        <v>612</v>
      </c>
      <c r="L206" s="8">
        <f>SUM(L138,L115,L92,L47,L24,L161,L69,L183)</f>
        <v>55</v>
      </c>
      <c r="M206" s="8">
        <f>SUM(M138,M115,M92,M47,M24,M161,M69,M183)</f>
        <v>556</v>
      </c>
      <c r="N206" s="8">
        <f>SUM(N138,N115,N92,N47,N24,N161,N69,N183)</f>
        <v>409</v>
      </c>
      <c r="O206" s="8">
        <f>SUM(O138,O115,O92,O47,O24,O161,O69,O183)</f>
        <v>429</v>
      </c>
      <c r="P206" s="8">
        <f>SUM(P138,P115,P92,P47,P24,P161,P69,P183)</f>
        <v>616</v>
      </c>
      <c r="Q206" s="8">
        <f>SUM(Q138,Q115,Q92,Q47,Q24,Q161,Q69,Q183)</f>
        <v>1138</v>
      </c>
      <c r="R206" s="2"/>
      <c r="S206" s="28"/>
      <c r="T206" s="28"/>
    </row>
    <row r="207" spans="1:20" s="1" customFormat="1" x14ac:dyDescent="0.3">
      <c r="D207" s="2"/>
      <c r="E207" s="5" t="s">
        <v>6</v>
      </c>
      <c r="F207" s="8">
        <f>SUM(F139,F116,F93,F70,F48,F25,F162)</f>
        <v>35405152.660000741</v>
      </c>
      <c r="G207" s="8">
        <f>SUM(G231,G139,G116,G93,G70,G48,G25,G162)</f>
        <v>34461670.390000567</v>
      </c>
      <c r="H207" s="8">
        <f>SUM(H139,H116,H93,H70,H48,H25,H162)</f>
        <v>35124301.840000026</v>
      </c>
      <c r="I207" s="8">
        <f>SUM(I139,I116,I93,I70,I48,I25,I162)</f>
        <v>33952295.530000262</v>
      </c>
      <c r="J207" s="8">
        <f>SUM(J139,J116,J93,J70,J48,J25,J162)</f>
        <v>33596717.510000028</v>
      </c>
      <c r="K207" s="8">
        <f>SUM(K139,K116,K93,K70,K48,K25,K162)</f>
        <v>32741915.650000136</v>
      </c>
      <c r="L207" s="8">
        <f>SUM(L139,L116,L93,L70,L48,L25,L162,L184)</f>
        <v>34515485.920000233</v>
      </c>
      <c r="M207" s="8">
        <f>SUM(M139,M116,M93,M70,M48,M25,M162,M184)</f>
        <v>32969746.320000257</v>
      </c>
      <c r="N207" s="8">
        <f>SUM(N139,N116,N93,N70,N48,N25,N162,N184)</f>
        <v>31401690.590000108</v>
      </c>
      <c r="O207" s="8">
        <f>SUM(O139,O116,O93,O70,O48,O25,O162,O184)</f>
        <v>30433020.340000041</v>
      </c>
      <c r="P207" s="8">
        <f>SUM(P139,P116,P93,P70,P48,P25,P162,P184)</f>
        <v>29322009.210000549</v>
      </c>
      <c r="Q207" s="8">
        <f>SUM(Q139,Q116,Q93,Q70,Q48,Q25,Q162,Q184)</f>
        <v>28246255.380000159</v>
      </c>
      <c r="R207" s="2"/>
      <c r="S207" s="28"/>
      <c r="T207" s="28"/>
    </row>
    <row r="208" spans="1:20" s="1" customFormat="1" x14ac:dyDescent="0.3">
      <c r="D208" s="2"/>
      <c r="E208" s="5" t="s">
        <v>5</v>
      </c>
      <c r="F208" s="8">
        <f>SUM(F140,F117,F94,F71,F49,F26,F163)</f>
        <v>32431882.020000745</v>
      </c>
      <c r="G208" s="8">
        <f>SUM(G232,G140,G117,G94,G71,G49,G26,G163)</f>
        <v>30585824.900000576</v>
      </c>
      <c r="H208" s="8">
        <f>SUM(H140,H117,H94,H71,H49,H26,H163)</f>
        <v>31827727.830000021</v>
      </c>
      <c r="I208" s="8">
        <f>SUM(I140,I117,I94,I71,I49,I26,I163)</f>
        <v>29912818.940000258</v>
      </c>
      <c r="J208" s="8">
        <f>SUM(J140,J117,J94,J71,J49,J26,J163)</f>
        <v>30229967.380000036</v>
      </c>
      <c r="K208" s="8">
        <f>SUM(K140,K117,K94,K71,K49,K26,K163)</f>
        <v>29419197.040000152</v>
      </c>
      <c r="L208" s="8">
        <f>SUM(L140,L117,L94,L71,L49,L26,L163,L185)</f>
        <v>30582694.460000277</v>
      </c>
      <c r="M208" s="8">
        <f>SUM(M140,M117,M94,M71,M49,M26,M163,M185)</f>
        <v>29719314.600000251</v>
      </c>
      <c r="N208" s="8">
        <f>SUM(N140,N117,N94,N71,N49,N26,N163,N185)</f>
        <v>28406657.370000098</v>
      </c>
      <c r="O208" s="8">
        <f>SUM(O140,O117,O94,O71,O49,O26,O163,O185)</f>
        <v>27637499.940000035</v>
      </c>
      <c r="P208" s="8">
        <f>SUM(P140,P117,P94,P71,P49,P26,P163,P185)</f>
        <v>26662916.480000544</v>
      </c>
      <c r="Q208" s="8">
        <f>SUM(Q140,Q117,Q94,Q71,Q49,Q26,Q163,Q185)</f>
        <v>25511804.790000156</v>
      </c>
      <c r="R208" s="2"/>
      <c r="S208" s="28"/>
      <c r="T208" s="28"/>
    </row>
    <row r="209" spans="1:20" s="1" customFormat="1" x14ac:dyDescent="0.3">
      <c r="D209" s="2"/>
      <c r="E209" s="5" t="s">
        <v>49</v>
      </c>
      <c r="F209" s="10">
        <f>IFERROR((1-F208/F207),0)</f>
        <v>8.3978472527787562E-2</v>
      </c>
      <c r="G209" s="10">
        <f>IFERROR((1-G208/G207),0)</f>
        <v>0.11246830017632026</v>
      </c>
      <c r="H209" s="10">
        <f>IFERROR((1-H208/H207),0)</f>
        <v>9.3854506347677003E-2</v>
      </c>
      <c r="I209" s="10">
        <f>IFERROR((1-I208/I207),0)</f>
        <v>0.11897506566030924</v>
      </c>
      <c r="J209" s="10">
        <f>IFERROR((1-J208/J207),0)</f>
        <v>0.10021068662430732</v>
      </c>
      <c r="K209" s="10">
        <f>IFERROR((1-K208/K207),0)</f>
        <v>0.10148210769090937</v>
      </c>
      <c r="L209" s="10">
        <f>IFERROR((1-L208/L207),0)</f>
        <v>0.1139428101668728</v>
      </c>
      <c r="M209" s="10">
        <f>IFERROR((1-M208/M207),0)</f>
        <v>9.8588314524828968E-2</v>
      </c>
      <c r="N209" s="10">
        <f>IFERROR((1-N208/N207),0)</f>
        <v>9.5378088368075931E-2</v>
      </c>
      <c r="O209" s="10">
        <f>IFERROR((1-O208/O207),0)</f>
        <v>9.185813201477333E-2</v>
      </c>
      <c r="P209" s="10">
        <f>IFERROR((1-P208/P207),0)</f>
        <v>9.0685897782649016E-2</v>
      </c>
      <c r="Q209" s="10">
        <f>IFERROR((1-Q208/Q207),0)</f>
        <v>9.6807543273015217E-2</v>
      </c>
      <c r="R209" s="2"/>
      <c r="S209" s="28"/>
      <c r="T209" s="28"/>
    </row>
    <row r="210" spans="1:20" s="1" customFormat="1" x14ac:dyDescent="0.3">
      <c r="D210" s="2"/>
      <c r="E210" s="5" t="s">
        <v>3</v>
      </c>
      <c r="F210" s="8">
        <f>SUM(F165,F142,F119,F96,F73,F51,F28,F187)</f>
        <v>1576</v>
      </c>
      <c r="G210" s="8">
        <f>SUM(G165,G142,G119,G96,G73,G51,G28,G187)</f>
        <v>1716</v>
      </c>
      <c r="H210" s="8">
        <f>SUM(H165,H142,H119,H96,H73,H51,H28,H187)</f>
        <v>1366</v>
      </c>
      <c r="I210" s="8">
        <f>SUM(I165,I142,I119,I96,I73,I51,I28,I187)</f>
        <v>1435</v>
      </c>
      <c r="J210" s="8">
        <f>SUM(J165,J142,J119,J96,J73,J51,J28,J187)</f>
        <v>1320</v>
      </c>
      <c r="K210" s="8">
        <f>SUM(K165,K142,K119,K96,K73,K51,K28,K187)</f>
        <v>1168</v>
      </c>
      <c r="L210" s="8">
        <f>SUM(L165,L142,L119,L96,L73,L51,L28,L187)</f>
        <v>1836</v>
      </c>
      <c r="M210" s="8">
        <f>SUM(M165,M142,M119,M96,M73,M51,M28,M187)</f>
        <v>2104</v>
      </c>
      <c r="N210" s="8">
        <f>SUM(N165,N142,N119,N96,N73,N51,N28,N187)</f>
        <v>1425</v>
      </c>
      <c r="O210" s="8">
        <f>SUM(O165,O142,O119,O96,O73,O51,O28,O187)</f>
        <v>971</v>
      </c>
      <c r="P210" s="8">
        <f>SUM(P165,P142,P119,P96,P73,P51,P28,P187)</f>
        <v>693</v>
      </c>
      <c r="Q210" s="8">
        <f>SUM(Q165,Q142,Q119,Q96,Q73,Q51,Q28,Q187)</f>
        <v>717</v>
      </c>
      <c r="R210" s="2"/>
      <c r="S210" s="28"/>
      <c r="T210" s="28"/>
    </row>
    <row r="211" spans="1:20" s="1" customFormat="1" x14ac:dyDescent="0.3">
      <c r="D211" s="2"/>
      <c r="E211" s="5" t="s">
        <v>2</v>
      </c>
      <c r="F211" s="24">
        <f>IFERROR(F207/F196,0)</f>
        <v>700.16320248384795</v>
      </c>
      <c r="G211" s="24">
        <f>IFERROR(G207/G196,0)</f>
        <v>689.12314809631596</v>
      </c>
      <c r="H211" s="24">
        <f>IFERROR(H207/H196,0)</f>
        <v>719.22970431648832</v>
      </c>
      <c r="I211" s="24">
        <f>IFERROR(I207/I196,0)</f>
        <v>705.83958109850448</v>
      </c>
      <c r="J211" s="24">
        <f>IFERROR(J207/J196,0)</f>
        <v>710.72576230670029</v>
      </c>
      <c r="K211" s="24">
        <f>IFERROR(K207/K196,0)</f>
        <v>718.63909154759847</v>
      </c>
      <c r="L211" s="24">
        <f>IFERROR(L207/L196,0)</f>
        <v>798.72922315044627</v>
      </c>
      <c r="M211" s="24">
        <f>IFERROR(M207/M196,0)</f>
        <v>788.91977507119373</v>
      </c>
      <c r="N211" s="24">
        <f>IFERROR(N207/N196,0)</f>
        <v>780.90347632547764</v>
      </c>
      <c r="O211" s="24">
        <f>IFERROR(O207/O196,0)</f>
        <v>791.00224411290844</v>
      </c>
      <c r="P211" s="24">
        <f>IFERROR(P207/P196,0)</f>
        <v>798.8124665595268</v>
      </c>
      <c r="Q211" s="24">
        <f>IFERROR(Q207/Q196,0)</f>
        <v>793.52329980897173</v>
      </c>
      <c r="R211" s="2"/>
      <c r="S211" s="28"/>
      <c r="T211" s="28"/>
    </row>
    <row r="212" spans="1:20" s="1" customFormat="1" x14ac:dyDescent="0.3">
      <c r="D212" s="2"/>
      <c r="E212" s="5" t="s">
        <v>1</v>
      </c>
      <c r="F212" s="8">
        <f>SUM(F236,F144,F121,F98,F75,F53,F30,F167)</f>
        <v>733775.60591600067</v>
      </c>
      <c r="G212" s="8">
        <f>SUM(G236,G144,G121,G98,G75,G53,G30,G167)</f>
        <v>704210.09</v>
      </c>
      <c r="H212" s="8">
        <f>SUM(H236,H144,H121,H98,H75,H53,H30,H167)</f>
        <v>744185.91</v>
      </c>
      <c r="I212" s="8">
        <f>SUM(I236,I144,I121,I98,I75,I53,I30,I167)</f>
        <v>610525.22</v>
      </c>
      <c r="J212" s="8">
        <f>SUM(J236,J144,J121,J98,J75,J53,J30,J167)</f>
        <v>707612.96</v>
      </c>
      <c r="K212" s="8">
        <f>SUM(K236,K144,K121,K98,K75,K53,K30,K167)</f>
        <v>511845.89999999997</v>
      </c>
      <c r="L212" s="8">
        <f>SUM(L236,L144,L121,L98,L75,L53,L30,L167,L189)</f>
        <v>0</v>
      </c>
      <c r="M212" s="8">
        <f>SUM(M236,M144,M121,M98,M75,M53,M30,M167)</f>
        <v>0</v>
      </c>
      <c r="N212" s="8">
        <f>SUM(N236,N144,N121,N98,N75,N53,N30,N167)</f>
        <v>0</v>
      </c>
      <c r="O212" s="8">
        <f>SUM(O236,O144,O121,O98,O75,O53,O30,O167)</f>
        <v>0</v>
      </c>
      <c r="P212" s="8">
        <f>SUM(P236,P144,P121,P98,P75,P53,P30,P167)</f>
        <v>0</v>
      </c>
      <c r="Q212" s="8">
        <f>SUM(Q236,Q144,Q121,Q98,Q75,Q53,Q30,Q167)</f>
        <v>0</v>
      </c>
      <c r="R212" s="2"/>
      <c r="S212" s="28"/>
      <c r="T212" s="28"/>
    </row>
    <row r="213" spans="1:20" s="1" customFormat="1" x14ac:dyDescent="0.3">
      <c r="D213" s="2"/>
      <c r="E213" s="5" t="s">
        <v>0</v>
      </c>
      <c r="F213" s="8">
        <f>SUM(F237,F145,F122,F99,F76,F54,F31,F168)</f>
        <v>265066</v>
      </c>
      <c r="G213" s="8">
        <f>SUM(G237,G145,G122,G99,G76,G54,G31,G168)</f>
        <v>0</v>
      </c>
      <c r="H213" s="8">
        <f>SUM(H237,H145,H122,H99,H76,H54,H31,H168)</f>
        <v>0</v>
      </c>
      <c r="I213" s="8">
        <f>SUM(I237,I145,I122,I99,I76,I54,I31,I168)</f>
        <v>0</v>
      </c>
      <c r="J213" s="8">
        <f>SUM(J237,J145,J122,J99,J76,J54,J31,J168)</f>
        <v>0</v>
      </c>
      <c r="K213" s="8">
        <f>SUM(K237,K145,K122,K99,K76,K54,K31,K168)</f>
        <v>0</v>
      </c>
      <c r="L213" s="8">
        <f>SUM(L237,L145,L122,L99,L76,L54,L31,L168,L190)</f>
        <v>0</v>
      </c>
      <c r="M213" s="8">
        <f>SUM(M237,M145,M122,M99,M76,M54,M31,M168)</f>
        <v>0</v>
      </c>
      <c r="N213" s="8">
        <f>SUM(N237,N145,N122,N99,N76,N54,N31,N168)</f>
        <v>0</v>
      </c>
      <c r="O213" s="8">
        <f>SUM(O237,O145,O122,O99,O76,O54,O31,O168)</f>
        <v>0</v>
      </c>
      <c r="P213" s="8">
        <f>SUM(P237,P145,P122,P99,P76,P54,P31,P168)</f>
        <v>0</v>
      </c>
      <c r="Q213" s="8">
        <f>SUM(Q237,Q145,Q122,Q99,Q76,Q54,Q31,Q168)</f>
        <v>0</v>
      </c>
      <c r="R213" s="2"/>
      <c r="S213" s="28"/>
      <c r="T213" s="28"/>
    </row>
    <row r="214" spans="1:20" s="2" customFormat="1" ht="1.2" customHeight="1" x14ac:dyDescent="0.3"/>
    <row r="215" spans="1:20" s="1" customFormat="1" hidden="1" x14ac:dyDescent="0.3">
      <c r="A215" s="2"/>
      <c r="B215" s="2"/>
      <c r="C215" s="2"/>
      <c r="D215" s="2"/>
      <c r="E215" s="2"/>
      <c r="F215" s="55"/>
      <c r="G215" s="55"/>
      <c r="H215" s="55"/>
      <c r="I215" s="61"/>
      <c r="J215" s="55"/>
      <c r="K215" s="60"/>
      <c r="L215" s="29"/>
      <c r="M215" s="29"/>
      <c r="N215" s="29"/>
      <c r="O215" s="29"/>
      <c r="P215" s="29"/>
      <c r="Q215" s="29"/>
      <c r="R215" s="2"/>
      <c r="S215" s="28"/>
      <c r="T215" s="28"/>
    </row>
    <row r="216" spans="1:20" s="1" customFormat="1" hidden="1" x14ac:dyDescent="0.3">
      <c r="A216" s="2"/>
      <c r="B216" s="2"/>
      <c r="C216" s="2"/>
      <c r="D216" s="2"/>
      <c r="E216" s="2"/>
      <c r="F216" s="55"/>
      <c r="G216" s="55"/>
      <c r="H216" s="55"/>
      <c r="I216" s="61"/>
      <c r="J216" s="55"/>
      <c r="K216" s="60"/>
      <c r="L216" s="29"/>
      <c r="M216" s="29"/>
      <c r="N216" s="29"/>
      <c r="O216" s="29"/>
      <c r="P216" s="29"/>
      <c r="Q216" s="29"/>
      <c r="R216" s="2"/>
      <c r="S216" s="28"/>
      <c r="T216" s="28"/>
    </row>
    <row r="217" spans="1:20" s="1" customFormat="1" ht="5.4" customHeight="1" x14ac:dyDescent="0.3">
      <c r="A217" s="2"/>
      <c r="B217" s="2"/>
      <c r="C217" s="2"/>
      <c r="D217" s="2"/>
      <c r="E217" s="2"/>
      <c r="F217" s="55"/>
      <c r="G217" s="55"/>
      <c r="H217" s="55"/>
      <c r="I217" s="61"/>
      <c r="J217" s="55"/>
      <c r="K217" s="60"/>
      <c r="L217" s="29"/>
      <c r="M217" s="29"/>
      <c r="N217" s="29"/>
      <c r="O217" s="29"/>
      <c r="P217" s="29"/>
      <c r="Q217" s="29"/>
      <c r="R217" s="2"/>
      <c r="S217" s="28"/>
      <c r="T217" s="28"/>
    </row>
    <row r="218" spans="1:20" s="1" customFormat="1" x14ac:dyDescent="0.3">
      <c r="A218" s="70"/>
      <c r="B218" s="70"/>
      <c r="C218" s="70"/>
      <c r="D218" s="2"/>
      <c r="E218" s="54" t="s">
        <v>33</v>
      </c>
      <c r="F218" s="54" t="s">
        <v>32</v>
      </c>
      <c r="G218" s="54" t="s">
        <v>31</v>
      </c>
      <c r="H218" s="54" t="s">
        <v>30</v>
      </c>
      <c r="I218" s="54" t="s">
        <v>29</v>
      </c>
      <c r="J218" s="54" t="s">
        <v>28</v>
      </c>
      <c r="K218" s="54" t="s">
        <v>27</v>
      </c>
      <c r="L218" s="54" t="s">
        <v>26</v>
      </c>
      <c r="M218" s="54" t="s">
        <v>25</v>
      </c>
      <c r="N218" s="54" t="s">
        <v>24</v>
      </c>
      <c r="O218" s="54" t="s">
        <v>23</v>
      </c>
      <c r="P218" s="54" t="s">
        <v>22</v>
      </c>
      <c r="Q218" s="54" t="s">
        <v>21</v>
      </c>
      <c r="R218" s="2"/>
      <c r="S218" s="28"/>
      <c r="T218" s="28"/>
    </row>
    <row r="219" spans="1:20" s="1" customFormat="1" x14ac:dyDescent="0.3">
      <c r="A219" s="70"/>
      <c r="B219" s="70"/>
      <c r="C219" s="70"/>
      <c r="D219" s="2"/>
      <c r="E219" s="5" t="s">
        <v>20</v>
      </c>
      <c r="F219" s="42" t="s">
        <v>34</v>
      </c>
      <c r="G219" s="42" t="s">
        <v>34</v>
      </c>
      <c r="H219" s="42" t="s">
        <v>34</v>
      </c>
      <c r="I219" s="42" t="s">
        <v>34</v>
      </c>
      <c r="J219" s="42" t="s">
        <v>34</v>
      </c>
      <c r="K219" s="42" t="s">
        <v>34</v>
      </c>
      <c r="L219" s="42" t="s">
        <v>34</v>
      </c>
      <c r="M219" s="42" t="s">
        <v>34</v>
      </c>
      <c r="N219" s="42" t="s">
        <v>34</v>
      </c>
      <c r="O219" s="42" t="s">
        <v>34</v>
      </c>
      <c r="P219" s="42" t="s">
        <v>34</v>
      </c>
      <c r="Q219" s="42" t="s">
        <v>34</v>
      </c>
      <c r="R219" s="2"/>
      <c r="S219" s="28"/>
      <c r="T219" s="28"/>
    </row>
    <row r="220" spans="1:20" s="1" customFormat="1" x14ac:dyDescent="0.3">
      <c r="A220" s="70"/>
      <c r="B220" s="70"/>
      <c r="C220" s="70"/>
      <c r="D220" s="2"/>
      <c r="E220" s="5" t="s">
        <v>19</v>
      </c>
      <c r="F220" s="8">
        <f>SUM(F221:F222)</f>
        <v>22</v>
      </c>
      <c r="G220" s="8">
        <f>SUM(G221:G222)</f>
        <v>30</v>
      </c>
      <c r="H220" s="8">
        <f>SUM(H221:H222)</f>
        <v>38</v>
      </c>
      <c r="I220" s="8">
        <f>SUM(I221:I222)</f>
        <v>38</v>
      </c>
      <c r="J220" s="8">
        <f>SUM(J221:J222)</f>
        <v>42</v>
      </c>
      <c r="K220" s="8">
        <f>SUM(K221:K222)</f>
        <v>39</v>
      </c>
      <c r="L220" s="8">
        <f>SUM(L221:L222)</f>
        <v>39</v>
      </c>
      <c r="M220" s="8">
        <f>SUM(M221:M222)</f>
        <v>39</v>
      </c>
      <c r="N220" s="8">
        <f>SUM(N221:N222)</f>
        <v>39</v>
      </c>
      <c r="O220" s="8">
        <f>SUM(O221:O222)</f>
        <v>39</v>
      </c>
      <c r="P220" s="8">
        <f>SUM(P221:P222)</f>
        <v>11</v>
      </c>
      <c r="Q220" s="8">
        <f>SUM(Q221:Q222)</f>
        <v>13</v>
      </c>
      <c r="R220" s="2"/>
      <c r="S220" s="28"/>
      <c r="T220" s="28"/>
    </row>
    <row r="221" spans="1:20" s="1" customFormat="1" x14ac:dyDescent="0.3">
      <c r="A221" s="70"/>
      <c r="B221" s="70"/>
      <c r="C221" s="70"/>
      <c r="D221" s="2"/>
      <c r="E221" s="14" t="s">
        <v>41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2"/>
      <c r="S221" s="28"/>
      <c r="T221" s="28"/>
    </row>
    <row r="222" spans="1:20" s="1" customFormat="1" x14ac:dyDescent="0.3">
      <c r="A222" s="70"/>
      <c r="B222" s="70"/>
      <c r="C222" s="70"/>
      <c r="D222" s="2"/>
      <c r="E222" s="14" t="s">
        <v>40</v>
      </c>
      <c r="F222" s="8">
        <v>22</v>
      </c>
      <c r="G222" s="8">
        <v>30</v>
      </c>
      <c r="H222" s="8">
        <v>38</v>
      </c>
      <c r="I222" s="8">
        <v>38</v>
      </c>
      <c r="J222" s="8">
        <v>42</v>
      </c>
      <c r="K222" s="8">
        <v>39</v>
      </c>
      <c r="L222" s="8">
        <v>39</v>
      </c>
      <c r="M222" s="8">
        <v>39</v>
      </c>
      <c r="N222" s="8">
        <v>39</v>
      </c>
      <c r="O222" s="8">
        <v>39</v>
      </c>
      <c r="P222" s="8">
        <v>11</v>
      </c>
      <c r="Q222" s="8">
        <v>13</v>
      </c>
      <c r="R222" s="2"/>
      <c r="S222" s="28"/>
      <c r="T222" s="28"/>
    </row>
    <row r="223" spans="1:20" s="1" customFormat="1" x14ac:dyDescent="0.3">
      <c r="A223" s="70"/>
      <c r="B223" s="70"/>
      <c r="C223" s="70"/>
      <c r="D223" s="2"/>
      <c r="E223" s="5" t="s">
        <v>39</v>
      </c>
      <c r="F223" s="8">
        <f>SUM(F226:F230)</f>
        <v>0</v>
      </c>
      <c r="G223" s="8">
        <f>SUM(G226:G230)</f>
        <v>3</v>
      </c>
      <c r="H223" s="8">
        <f>SUM(H226:H230)</f>
        <v>0</v>
      </c>
      <c r="I223" s="8">
        <f>SUM(I226:I230)</f>
        <v>3</v>
      </c>
      <c r="J223" s="8">
        <f>SUM(J226:J230)</f>
        <v>4</v>
      </c>
      <c r="K223" s="8">
        <f>SUM(K226:K230)</f>
        <v>3</v>
      </c>
      <c r="L223" s="8">
        <f>SUM(L226:L230)</f>
        <v>0</v>
      </c>
      <c r="M223" s="8">
        <f>SUM(M226:M230)</f>
        <v>0</v>
      </c>
      <c r="N223" s="8">
        <f>SUM(N226:N230)</f>
        <v>0</v>
      </c>
      <c r="O223" s="8">
        <f>SUM(O226:O230)</f>
        <v>0</v>
      </c>
      <c r="P223" s="8">
        <f>SUM(P226:P230)</f>
        <v>19</v>
      </c>
      <c r="Q223" s="8">
        <f>SUM(Q226:Q230)</f>
        <v>1</v>
      </c>
      <c r="R223" s="2"/>
      <c r="S223" s="28"/>
      <c r="T223" s="28"/>
    </row>
    <row r="224" spans="1:20" s="1" customFormat="1" x14ac:dyDescent="0.3">
      <c r="A224" s="70"/>
      <c r="B224" s="70"/>
      <c r="C224" s="70"/>
      <c r="D224" s="2"/>
      <c r="E224" s="5" t="s">
        <v>15</v>
      </c>
      <c r="F224" s="8">
        <v>0</v>
      </c>
      <c r="G224" s="8">
        <v>2</v>
      </c>
      <c r="H224" s="8">
        <v>1</v>
      </c>
      <c r="I224" s="8">
        <v>0</v>
      </c>
      <c r="J224" s="8">
        <v>3</v>
      </c>
      <c r="K224" s="8">
        <v>0</v>
      </c>
      <c r="L224" s="8">
        <v>0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2"/>
      <c r="S224" s="28"/>
      <c r="T224" s="28"/>
    </row>
    <row r="225" spans="1:20" s="1" customFormat="1" x14ac:dyDescent="0.3">
      <c r="A225" s="70"/>
      <c r="B225" s="70"/>
      <c r="C225" s="70"/>
      <c r="D225" s="2"/>
      <c r="E225" s="5" t="s">
        <v>14</v>
      </c>
      <c r="F225" s="10">
        <v>0</v>
      </c>
      <c r="G225" s="10">
        <f>IFERROR(G223/F220,0)</f>
        <v>0.13636363636363635</v>
      </c>
      <c r="H225" s="10">
        <f>IFERROR(H223/G220,0)</f>
        <v>0</v>
      </c>
      <c r="I225" s="10">
        <f>IFERROR(I223/H220,0)</f>
        <v>7.8947368421052627E-2</v>
      </c>
      <c r="J225" s="10">
        <f>IFERROR(J223/I220,0)</f>
        <v>0.10526315789473684</v>
      </c>
      <c r="K225" s="10">
        <f>IFERROR(K223/J220,0)</f>
        <v>7.1428571428571425E-2</v>
      </c>
      <c r="L225" s="10">
        <f>IFERROR(L223/K220,0)</f>
        <v>0</v>
      </c>
      <c r="M225" s="10">
        <f>IFERROR(M223/L220,0)</f>
        <v>0</v>
      </c>
      <c r="N225" s="10">
        <f>IFERROR(N223/M220,0)</f>
        <v>0</v>
      </c>
      <c r="O225" s="10">
        <f>IFERROR(O223/N220,0)</f>
        <v>0</v>
      </c>
      <c r="P225" s="10">
        <f>IFERROR(P223/O220,0)</f>
        <v>0.48717948717948717</v>
      </c>
      <c r="Q225" s="10">
        <f>IFERROR(Q223/P220,0)</f>
        <v>9.0909090909090912E-2</v>
      </c>
      <c r="R225" s="2"/>
      <c r="S225" s="28"/>
      <c r="T225" s="28"/>
    </row>
    <row r="226" spans="1:20" s="1" customFormat="1" x14ac:dyDescent="0.3">
      <c r="A226" s="70"/>
      <c r="B226" s="70"/>
      <c r="C226" s="70"/>
      <c r="D226" s="2"/>
      <c r="E226" s="5" t="s">
        <v>13</v>
      </c>
      <c r="F226" s="8">
        <v>0</v>
      </c>
      <c r="G226" s="8">
        <v>0</v>
      </c>
      <c r="H226" s="8">
        <v>0</v>
      </c>
      <c r="I226" s="8">
        <v>3</v>
      </c>
      <c r="J226" s="8">
        <v>0</v>
      </c>
      <c r="K226" s="8">
        <v>1</v>
      </c>
      <c r="L226" s="8">
        <v>0</v>
      </c>
      <c r="M226" s="8">
        <v>0</v>
      </c>
      <c r="N226" s="8">
        <v>0</v>
      </c>
      <c r="O226" s="8">
        <v>0</v>
      </c>
      <c r="P226" s="8">
        <v>3</v>
      </c>
      <c r="Q226" s="8">
        <v>1</v>
      </c>
      <c r="R226" s="2"/>
      <c r="S226" s="28"/>
      <c r="T226" s="28"/>
    </row>
    <row r="227" spans="1:20" s="1" customFormat="1" x14ac:dyDescent="0.3">
      <c r="A227" s="70"/>
      <c r="B227" s="70"/>
      <c r="C227" s="70"/>
      <c r="D227" s="2"/>
      <c r="E227" s="5" t="s">
        <v>12</v>
      </c>
      <c r="F227" s="8">
        <v>0</v>
      </c>
      <c r="G227" s="8">
        <v>0</v>
      </c>
      <c r="H227" s="8">
        <v>0</v>
      </c>
      <c r="I227" s="8">
        <v>0</v>
      </c>
      <c r="J227" s="8">
        <v>4</v>
      </c>
      <c r="K227" s="8">
        <v>2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2"/>
      <c r="S227" s="28"/>
      <c r="T227" s="28"/>
    </row>
    <row r="228" spans="1:20" s="1" customFormat="1" x14ac:dyDescent="0.3">
      <c r="A228" s="70"/>
      <c r="B228" s="70"/>
      <c r="C228" s="70"/>
      <c r="D228" s="2"/>
      <c r="E228" s="5" t="s">
        <v>11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2"/>
      <c r="S228" s="28"/>
      <c r="T228" s="28"/>
    </row>
    <row r="229" spans="1:20" s="1" customFormat="1" x14ac:dyDescent="0.3">
      <c r="A229" s="70"/>
      <c r="B229" s="70"/>
      <c r="C229" s="70"/>
      <c r="D229" s="2"/>
      <c r="E229" s="5" t="s">
        <v>50</v>
      </c>
      <c r="F229" s="42">
        <v>0</v>
      </c>
      <c r="G229" s="42">
        <v>0</v>
      </c>
      <c r="H229" s="42">
        <v>0</v>
      </c>
      <c r="I229" s="42">
        <v>0</v>
      </c>
      <c r="J229" s="42">
        <v>0</v>
      </c>
      <c r="K229" s="42">
        <v>0</v>
      </c>
      <c r="L229" s="42">
        <v>0</v>
      </c>
      <c r="M229" s="42">
        <v>0</v>
      </c>
      <c r="N229" s="42">
        <v>0</v>
      </c>
      <c r="O229" s="42">
        <v>0</v>
      </c>
      <c r="P229" s="42">
        <v>0</v>
      </c>
      <c r="Q229" s="42">
        <v>0</v>
      </c>
      <c r="R229" s="2"/>
      <c r="S229" s="28"/>
      <c r="T229" s="28"/>
    </row>
    <row r="230" spans="1:20" s="1" customFormat="1" x14ac:dyDescent="0.3">
      <c r="A230" s="70"/>
      <c r="B230" s="70"/>
      <c r="C230" s="70"/>
      <c r="D230" s="2"/>
      <c r="E230" s="5" t="s">
        <v>46</v>
      </c>
      <c r="F230" s="42">
        <v>0</v>
      </c>
      <c r="G230" s="42">
        <v>3</v>
      </c>
      <c r="H230" s="42">
        <v>0</v>
      </c>
      <c r="I230" s="42">
        <v>0</v>
      </c>
      <c r="J230" s="42">
        <v>0</v>
      </c>
      <c r="K230" s="42">
        <v>0</v>
      </c>
      <c r="L230" s="42">
        <v>0</v>
      </c>
      <c r="M230" s="42">
        <v>0</v>
      </c>
      <c r="N230" s="42">
        <v>0</v>
      </c>
      <c r="O230" s="42">
        <v>0</v>
      </c>
      <c r="P230" s="42">
        <v>16</v>
      </c>
      <c r="Q230" s="42">
        <v>0</v>
      </c>
      <c r="R230" s="2"/>
      <c r="S230" s="28"/>
      <c r="T230" s="28"/>
    </row>
    <row r="231" spans="1:20" s="1" customFormat="1" x14ac:dyDescent="0.3">
      <c r="A231" s="70"/>
      <c r="B231" s="70"/>
      <c r="C231" s="70"/>
      <c r="D231" s="2"/>
      <c r="E231" s="5" t="s">
        <v>6</v>
      </c>
      <c r="F231" s="23">
        <v>0</v>
      </c>
      <c r="G231" s="23">
        <v>0</v>
      </c>
      <c r="H231" s="23">
        <v>0</v>
      </c>
      <c r="I231" s="23">
        <v>0</v>
      </c>
      <c r="J231" s="23">
        <v>35</v>
      </c>
      <c r="K231" s="23">
        <v>0</v>
      </c>
      <c r="L231" s="23">
        <v>0</v>
      </c>
      <c r="M231" s="23">
        <v>0</v>
      </c>
      <c r="N231" s="23">
        <v>0</v>
      </c>
      <c r="O231" s="23">
        <v>21</v>
      </c>
      <c r="P231" s="23">
        <v>0</v>
      </c>
      <c r="Q231" s="23">
        <v>21</v>
      </c>
      <c r="R231" s="2"/>
      <c r="S231" s="28"/>
      <c r="T231" s="28"/>
    </row>
    <row r="232" spans="1:20" s="1" customFormat="1" x14ac:dyDescent="0.3">
      <c r="A232" s="70"/>
      <c r="B232" s="70"/>
      <c r="C232" s="70"/>
      <c r="D232" s="2"/>
      <c r="E232" s="5" t="s">
        <v>5</v>
      </c>
      <c r="F232" s="23">
        <v>0</v>
      </c>
      <c r="G232" s="23">
        <v>0</v>
      </c>
      <c r="H232" s="23">
        <v>0</v>
      </c>
      <c r="I232" s="23">
        <v>0</v>
      </c>
      <c r="J232" s="23">
        <v>0</v>
      </c>
      <c r="K232" s="23">
        <v>0</v>
      </c>
      <c r="L232" s="23">
        <v>0</v>
      </c>
      <c r="M232" s="23">
        <v>0</v>
      </c>
      <c r="N232" s="23">
        <v>0</v>
      </c>
      <c r="O232" s="23">
        <v>0</v>
      </c>
      <c r="P232" s="23">
        <v>0</v>
      </c>
      <c r="Q232" s="23">
        <v>0</v>
      </c>
      <c r="R232" s="2"/>
      <c r="S232" s="28"/>
      <c r="T232" s="28"/>
    </row>
    <row r="233" spans="1:20" s="1" customFormat="1" x14ac:dyDescent="0.3">
      <c r="A233" s="70"/>
      <c r="B233" s="70"/>
      <c r="C233" s="70"/>
      <c r="D233" s="2"/>
      <c r="E233" s="5" t="s">
        <v>49</v>
      </c>
      <c r="F233" s="10">
        <f>IFERROR((1-F232/F231),0)</f>
        <v>0</v>
      </c>
      <c r="G233" s="10">
        <f>IFERROR((1-G232/G231),0)</f>
        <v>0</v>
      </c>
      <c r="H233" s="10">
        <f>IFERROR((1-H232/H231),0)</f>
        <v>0</v>
      </c>
      <c r="I233" s="10">
        <f>IFERROR((1-I232/I231),0)</f>
        <v>0</v>
      </c>
      <c r="J233" s="10">
        <f>IFERROR((1-J232/J231),0)</f>
        <v>1</v>
      </c>
      <c r="K233" s="10">
        <f>IFERROR((1-K232/K231),0)</f>
        <v>0</v>
      </c>
      <c r="L233" s="10">
        <f>IFERROR((1-L232/L231),0)</f>
        <v>0</v>
      </c>
      <c r="M233" s="10">
        <f>IFERROR((1-M232/M231),0)</f>
        <v>0</v>
      </c>
      <c r="N233" s="10">
        <f>IFERROR((1-N232/N231),0)</f>
        <v>0</v>
      </c>
      <c r="O233" s="10">
        <f>IFERROR((1-O232/O231),0)</f>
        <v>1</v>
      </c>
      <c r="P233" s="10">
        <f>IFERROR((1-P232/P231),0)</f>
        <v>0</v>
      </c>
      <c r="Q233" s="10">
        <f>IFERROR((1-Q232/Q231),0)</f>
        <v>1</v>
      </c>
      <c r="R233" s="2"/>
      <c r="S233" s="28"/>
      <c r="T233" s="28"/>
    </row>
    <row r="234" spans="1:20" s="1" customFormat="1" x14ac:dyDescent="0.3">
      <c r="A234" s="70"/>
      <c r="B234" s="70"/>
      <c r="C234" s="70"/>
      <c r="D234" s="2"/>
      <c r="E234" s="5" t="s">
        <v>3</v>
      </c>
      <c r="F234" s="8">
        <v>7</v>
      </c>
      <c r="G234" s="8">
        <v>11</v>
      </c>
      <c r="H234" s="8">
        <v>8</v>
      </c>
      <c r="I234" s="8">
        <v>3</v>
      </c>
      <c r="J234" s="8">
        <v>8</v>
      </c>
      <c r="K234" s="8">
        <v>0</v>
      </c>
      <c r="L234" s="8">
        <v>0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2"/>
      <c r="S234" s="28"/>
      <c r="T234" s="28"/>
    </row>
    <row r="235" spans="1:20" s="1" customFormat="1" x14ac:dyDescent="0.3">
      <c r="A235" s="70"/>
      <c r="B235" s="70"/>
      <c r="C235" s="70"/>
      <c r="D235" s="2"/>
      <c r="E235" s="5" t="s">
        <v>2</v>
      </c>
      <c r="F235" s="24">
        <f>IFERROR(F231/F220,0)</f>
        <v>0</v>
      </c>
      <c r="G235" s="24">
        <f>IFERROR(G231/G220,0)</f>
        <v>0</v>
      </c>
      <c r="H235" s="24">
        <f>IFERROR(H231/H220,0)</f>
        <v>0</v>
      </c>
      <c r="I235" s="24">
        <f>IFERROR(I231/I220,0)</f>
        <v>0</v>
      </c>
      <c r="J235" s="24">
        <f>IFERROR(J231/J220,0)</f>
        <v>0.83333333333333337</v>
      </c>
      <c r="K235" s="24">
        <f>IFERROR(K231/K220,0)</f>
        <v>0</v>
      </c>
      <c r="L235" s="24">
        <f>IFERROR(L231/L220,0)</f>
        <v>0</v>
      </c>
      <c r="M235" s="24">
        <f>IFERROR(M231/M220,0)</f>
        <v>0</v>
      </c>
      <c r="N235" s="24">
        <f>IFERROR(N231/N220,0)</f>
        <v>0</v>
      </c>
      <c r="O235" s="24">
        <f>IFERROR(O231/O220,0)</f>
        <v>0.53846153846153844</v>
      </c>
      <c r="P235" s="24">
        <f>IFERROR(P231/P220,0)</f>
        <v>0</v>
      </c>
      <c r="Q235" s="24">
        <f>IFERROR(Q231/Q220,0)</f>
        <v>1.6153846153846154</v>
      </c>
      <c r="R235" s="2"/>
      <c r="S235" s="28"/>
      <c r="T235" s="28"/>
    </row>
    <row r="236" spans="1:20" s="1" customFormat="1" x14ac:dyDescent="0.3">
      <c r="A236" s="70"/>
      <c r="B236" s="70"/>
      <c r="C236" s="70"/>
      <c r="D236" s="2"/>
      <c r="E236" s="5" t="s">
        <v>1</v>
      </c>
      <c r="F236" s="56">
        <v>0</v>
      </c>
      <c r="G236" s="56">
        <v>0</v>
      </c>
      <c r="H236" s="56">
        <v>0</v>
      </c>
      <c r="I236" s="56">
        <v>0</v>
      </c>
      <c r="J236" s="56">
        <v>0</v>
      </c>
      <c r="K236" s="56">
        <v>0</v>
      </c>
      <c r="L236" s="56">
        <v>0</v>
      </c>
      <c r="M236" s="56">
        <v>0</v>
      </c>
      <c r="N236" s="56">
        <v>0</v>
      </c>
      <c r="O236" s="56">
        <v>0</v>
      </c>
      <c r="P236" s="56">
        <v>0</v>
      </c>
      <c r="Q236" s="56">
        <v>0</v>
      </c>
      <c r="R236" s="2"/>
      <c r="S236" s="28"/>
      <c r="T236" s="28"/>
    </row>
    <row r="237" spans="1:20" s="1" customFormat="1" x14ac:dyDescent="0.3">
      <c r="A237" s="70"/>
      <c r="B237" s="70"/>
      <c r="C237" s="70"/>
      <c r="D237" s="2"/>
      <c r="E237" s="5" t="s">
        <v>0</v>
      </c>
      <c r="F237" s="56">
        <v>0</v>
      </c>
      <c r="G237" s="56">
        <v>0</v>
      </c>
      <c r="H237" s="56">
        <v>0</v>
      </c>
      <c r="I237" s="56">
        <v>0</v>
      </c>
      <c r="J237" s="56">
        <v>0</v>
      </c>
      <c r="K237" s="56">
        <v>0</v>
      </c>
      <c r="L237" s="56">
        <v>0</v>
      </c>
      <c r="M237" s="56">
        <v>0</v>
      </c>
      <c r="N237" s="56">
        <v>0</v>
      </c>
      <c r="O237" s="56">
        <v>0</v>
      </c>
      <c r="P237" s="56">
        <v>0</v>
      </c>
      <c r="Q237" s="56">
        <v>0</v>
      </c>
      <c r="R237" s="2"/>
      <c r="S237" s="28"/>
      <c r="T237" s="28"/>
    </row>
    <row r="238" spans="1:20" s="1" customFormat="1" x14ac:dyDescent="0.3">
      <c r="D238" s="2"/>
      <c r="F238" s="44"/>
      <c r="J238" s="6"/>
      <c r="L238" s="47"/>
      <c r="O238" s="46"/>
      <c r="P238" s="45"/>
      <c r="R238" s="2"/>
      <c r="S238" s="28"/>
      <c r="T238" s="28"/>
    </row>
    <row r="239" spans="1:20" s="1" customFormat="1" x14ac:dyDescent="0.3">
      <c r="D239" s="2"/>
      <c r="F239" s="44"/>
      <c r="R239" s="74"/>
      <c r="T239" s="28"/>
    </row>
    <row r="240" spans="1:20" s="1" customFormat="1" x14ac:dyDescent="0.3">
      <c r="D240" s="2"/>
      <c r="F240" s="44"/>
      <c r="P240" s="45"/>
      <c r="R240" s="2"/>
      <c r="S240" s="28"/>
      <c r="T240" s="28"/>
    </row>
    <row r="241" spans="4:20" s="1" customFormat="1" x14ac:dyDescent="0.3">
      <c r="D241" s="2"/>
      <c r="F241" s="44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2"/>
      <c r="S241" s="28"/>
      <c r="T241" s="28"/>
    </row>
    <row r="242" spans="4:20" s="1" customFormat="1" x14ac:dyDescent="0.3">
      <c r="D242" s="2"/>
      <c r="F242" s="44"/>
      <c r="G242" s="44"/>
      <c r="H242" s="44"/>
      <c r="I242" s="44"/>
      <c r="J242" s="44"/>
      <c r="L242" s="6"/>
      <c r="M242" s="6"/>
      <c r="N242" s="6"/>
      <c r="R242" s="2"/>
      <c r="S242" s="28"/>
      <c r="T242" s="28"/>
    </row>
    <row r="243" spans="4:20" s="1" customFormat="1" x14ac:dyDescent="0.3">
      <c r="D243" s="2"/>
      <c r="F243" s="44"/>
      <c r="L243" s="6"/>
      <c r="M243" s="6"/>
      <c r="N243" s="6"/>
      <c r="R243" s="2"/>
      <c r="S243" s="28"/>
      <c r="T243" s="28"/>
    </row>
    <row r="244" spans="4:20" s="1" customFormat="1" x14ac:dyDescent="0.3">
      <c r="D244" s="2"/>
      <c r="F244" s="44"/>
      <c r="G244" s="44"/>
      <c r="L244" s="6"/>
      <c r="M244" s="6"/>
      <c r="R244" s="2"/>
      <c r="S244" s="28"/>
      <c r="T244" s="28"/>
    </row>
    <row r="245" spans="4:20" s="1" customFormat="1" x14ac:dyDescent="0.3">
      <c r="D245" s="2"/>
      <c r="F245" s="44"/>
      <c r="L245" s="6"/>
      <c r="M245" s="6"/>
      <c r="R245" s="2"/>
      <c r="S245" s="28"/>
      <c r="T245" s="28"/>
    </row>
    <row r="246" spans="4:20" s="1" customFormat="1" x14ac:dyDescent="0.3">
      <c r="D246" s="2"/>
      <c r="L246" s="6"/>
      <c r="M246" s="6"/>
      <c r="R246" s="2"/>
      <c r="S246" s="28"/>
      <c r="T246" s="28"/>
    </row>
    <row r="247" spans="4:20" s="1" customFormat="1" x14ac:dyDescent="0.3">
      <c r="D247" s="2"/>
      <c r="L247" s="6"/>
      <c r="M247" s="6"/>
      <c r="R247" s="2"/>
      <c r="S247" s="28"/>
      <c r="T247" s="28"/>
    </row>
    <row r="251" spans="4:20" s="1" customFormat="1" x14ac:dyDescent="0.3">
      <c r="D251" s="2"/>
      <c r="K251" s="43"/>
      <c r="R251" s="2"/>
      <c r="S251" s="28"/>
      <c r="T251" s="28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F4A8-B316-401E-BD07-A712209DBCC7}">
  <sheetPr codeName="Planilha4">
    <tabColor theme="3" tint="-0.499984740745262"/>
  </sheetPr>
  <dimension ref="A1:DC275"/>
  <sheetViews>
    <sheetView zoomScale="85" zoomScaleNormal="85" workbookViewId="0">
      <selection activeCell="E181" sqref="E181"/>
    </sheetView>
  </sheetViews>
  <sheetFormatPr defaultColWidth="9.33203125" defaultRowHeight="14.4" x14ac:dyDescent="0.3"/>
  <cols>
    <col min="1" max="2" width="9.33203125" style="1"/>
    <col min="3" max="3" width="12.6640625" style="1" customWidth="1"/>
    <col min="4" max="4" width="0.88671875" style="2" customWidth="1"/>
    <col min="5" max="5" width="30.109375" style="1" bestFit="1" customWidth="1"/>
    <col min="6" max="9" width="15.44140625" style="1" bestFit="1" customWidth="1"/>
    <col min="10" max="10" width="14.109375" style="1" bestFit="1" customWidth="1"/>
    <col min="11" max="12" width="15.5546875" style="1" bestFit="1" customWidth="1"/>
    <col min="13" max="13" width="18" style="1" customWidth="1"/>
    <col min="14" max="14" width="16.6640625" style="1" bestFit="1" customWidth="1"/>
    <col min="15" max="15" width="15.5546875" style="1" bestFit="1" customWidth="1"/>
    <col min="16" max="16" width="15.109375" style="1" bestFit="1" customWidth="1"/>
    <col min="17" max="17" width="14.88671875" style="1" bestFit="1" customWidth="1"/>
    <col min="18" max="18" width="0.88671875" style="2" customWidth="1"/>
    <col min="19" max="20" width="13.88671875" style="28" bestFit="1" customWidth="1"/>
    <col min="21" max="107" width="13.88671875" style="1" bestFit="1" customWidth="1"/>
    <col min="108" max="16384" width="9.33203125" style="1"/>
  </cols>
  <sheetData>
    <row r="1" spans="1:20" s="28" customFormat="1" x14ac:dyDescent="0.3">
      <c r="D1" s="2"/>
      <c r="E1" s="1"/>
      <c r="F1" s="1"/>
      <c r="G1" s="1"/>
      <c r="H1" s="1"/>
      <c r="I1" s="1"/>
      <c r="J1" s="1"/>
      <c r="K1" s="1"/>
      <c r="L1" s="1"/>
      <c r="M1" s="1"/>
      <c r="N1" s="1"/>
      <c r="R1" s="2"/>
    </row>
    <row r="2" spans="1:20" s="28" customFormat="1" x14ac:dyDescent="0.3">
      <c r="D2" s="2"/>
      <c r="E2" s="1"/>
      <c r="F2" s="1"/>
      <c r="G2" s="1"/>
      <c r="H2" s="1"/>
      <c r="I2" s="1"/>
      <c r="J2" s="1"/>
      <c r="K2" s="1"/>
      <c r="L2" s="1"/>
      <c r="M2" s="1"/>
      <c r="N2" s="1"/>
      <c r="R2" s="2"/>
    </row>
    <row r="3" spans="1:20" s="28" customFormat="1" x14ac:dyDescent="0.3">
      <c r="D3" s="2"/>
      <c r="E3" s="1"/>
      <c r="F3" s="1"/>
      <c r="G3" s="1"/>
      <c r="H3" s="1"/>
      <c r="I3" s="1"/>
      <c r="J3" s="1"/>
      <c r="K3" s="1"/>
      <c r="L3" s="1"/>
      <c r="M3" s="1"/>
      <c r="N3" s="1"/>
      <c r="R3" s="2"/>
    </row>
    <row r="4" spans="1:20" s="28" customFormat="1" x14ac:dyDescent="0.3">
      <c r="D4" s="2"/>
      <c r="E4" s="1"/>
      <c r="F4" s="1"/>
      <c r="G4" s="1"/>
      <c r="H4" s="1"/>
      <c r="I4" s="1"/>
      <c r="J4" s="1"/>
      <c r="K4" s="1"/>
      <c r="L4" s="1"/>
      <c r="M4" s="1"/>
      <c r="N4" s="1"/>
      <c r="R4" s="2"/>
    </row>
    <row r="5" spans="1:20" s="28" customFormat="1" x14ac:dyDescent="0.3">
      <c r="D5" s="2"/>
      <c r="E5" s="1"/>
      <c r="F5" s="1"/>
      <c r="G5" s="1"/>
      <c r="H5" s="1"/>
      <c r="I5" s="1"/>
      <c r="J5" s="1"/>
      <c r="K5" s="1"/>
      <c r="L5" s="1"/>
      <c r="M5" s="1"/>
      <c r="N5" s="1"/>
      <c r="R5" s="2"/>
    </row>
    <row r="6" spans="1:20" s="28" customFormat="1" x14ac:dyDescent="0.3">
      <c r="D6" s="2"/>
      <c r="E6" s="1"/>
      <c r="F6" s="1"/>
      <c r="G6" s="1"/>
      <c r="H6" s="1"/>
      <c r="I6" s="1"/>
      <c r="J6" s="1"/>
      <c r="K6" s="1"/>
      <c r="L6" s="1"/>
      <c r="M6" s="1"/>
      <c r="N6" s="1"/>
      <c r="R6" s="2"/>
    </row>
    <row r="7" spans="1:20" s="28" customFormat="1" x14ac:dyDescent="0.3">
      <c r="D7" s="2"/>
      <c r="E7" s="1"/>
      <c r="F7" s="1"/>
      <c r="G7" s="1"/>
      <c r="H7" s="1"/>
      <c r="I7" s="1"/>
      <c r="J7" s="1"/>
      <c r="K7" s="1"/>
      <c r="L7" s="1"/>
      <c r="M7" s="1"/>
      <c r="N7" s="1"/>
      <c r="R7" s="2"/>
    </row>
    <row r="8" spans="1:20" s="28" customFormat="1" x14ac:dyDescent="0.3">
      <c r="D8" s="2"/>
      <c r="E8" s="1"/>
      <c r="F8" s="1"/>
      <c r="G8" s="1"/>
      <c r="H8" s="1"/>
      <c r="I8" s="1"/>
      <c r="J8" s="1"/>
      <c r="K8" s="1"/>
      <c r="L8" s="1"/>
      <c r="M8" s="1"/>
      <c r="N8" s="1"/>
      <c r="R8" s="2"/>
    </row>
    <row r="9" spans="1:20" ht="3" customHeight="1" x14ac:dyDescent="0.3">
      <c r="A9" s="2"/>
      <c r="B9" s="2"/>
      <c r="C9" s="2"/>
      <c r="E9" s="29"/>
      <c r="F9" s="30"/>
      <c r="G9" s="29"/>
      <c r="H9" s="29"/>
      <c r="I9" s="29"/>
      <c r="J9" s="29"/>
      <c r="K9" s="29"/>
      <c r="L9" s="29"/>
      <c r="M9" s="2"/>
      <c r="N9" s="2"/>
      <c r="O9" s="2"/>
      <c r="P9" s="2"/>
      <c r="Q9" s="2"/>
    </row>
    <row r="10" spans="1:20" x14ac:dyDescent="0.3">
      <c r="E10" s="54" t="s">
        <v>33</v>
      </c>
      <c r="F10" s="54" t="s">
        <v>32</v>
      </c>
      <c r="G10" s="54" t="s">
        <v>31</v>
      </c>
      <c r="H10" s="54" t="s">
        <v>30</v>
      </c>
      <c r="I10" s="54" t="s">
        <v>29</v>
      </c>
      <c r="J10" s="54" t="s">
        <v>28</v>
      </c>
      <c r="K10" s="54" t="s">
        <v>27</v>
      </c>
      <c r="L10" s="54" t="s">
        <v>26</v>
      </c>
      <c r="M10" s="54" t="s">
        <v>25</v>
      </c>
      <c r="N10" s="54" t="s">
        <v>24</v>
      </c>
      <c r="O10" s="54" t="s">
        <v>23</v>
      </c>
      <c r="P10" s="54" t="s">
        <v>22</v>
      </c>
      <c r="Q10" s="54" t="s">
        <v>21</v>
      </c>
    </row>
    <row r="11" spans="1:20" s="70" customFormat="1" hidden="1" x14ac:dyDescent="0.3">
      <c r="E11" s="72"/>
      <c r="F11" s="73">
        <v>67796</v>
      </c>
      <c r="G11" s="73">
        <v>20173</v>
      </c>
      <c r="H11" s="73">
        <f>G14-H17+H28</f>
        <v>18141</v>
      </c>
      <c r="I11" s="73">
        <f>H14-I17+I28</f>
        <v>17186</v>
      </c>
      <c r="J11" s="73">
        <f>I14-J17+J28</f>
        <v>16564</v>
      </c>
      <c r="K11" s="73">
        <f>J14-K17+K28</f>
        <v>15923</v>
      </c>
      <c r="L11" s="73">
        <f>K14-L17+L28</f>
        <v>14301</v>
      </c>
      <c r="M11" s="73">
        <f>L14-M17+M28</f>
        <v>13321</v>
      </c>
      <c r="N11" s="73">
        <f>M14-N17+N28</f>
        <v>12534</v>
      </c>
      <c r="O11" s="73">
        <f>N14-O17+O28</f>
        <v>11792</v>
      </c>
      <c r="P11" s="73">
        <f>O14-P17+P28</f>
        <v>11328</v>
      </c>
      <c r="Q11" s="72"/>
      <c r="S11" s="71"/>
      <c r="T11" s="71"/>
    </row>
    <row r="12" spans="1:20" s="70" customFormat="1" hidden="1" x14ac:dyDescent="0.3">
      <c r="E12" s="72"/>
      <c r="F12" s="73">
        <f>F14-F11</f>
        <v>-47573</v>
      </c>
      <c r="G12" s="73">
        <v>0</v>
      </c>
      <c r="H12" s="73">
        <f>H14-H11</f>
        <v>-17</v>
      </c>
      <c r="I12" s="73">
        <f>I14-I11</f>
        <v>-34</v>
      </c>
      <c r="J12" s="73">
        <f>J14-J11</f>
        <v>-28</v>
      </c>
      <c r="K12" s="73">
        <f>K14-K11</f>
        <v>-30</v>
      </c>
      <c r="L12" s="73">
        <f>L14-L11</f>
        <v>-118</v>
      </c>
      <c r="M12" s="73">
        <f>M14-M11</f>
        <v>-69</v>
      </c>
      <c r="N12" s="73">
        <f>N14-N11</f>
        <v>-47</v>
      </c>
      <c r="O12" s="73">
        <f>O14-O11</f>
        <v>-38</v>
      </c>
      <c r="P12" s="73">
        <f>P14-P11</f>
        <v>-13</v>
      </c>
      <c r="Q12" s="72"/>
      <c r="S12" s="71"/>
      <c r="T12" s="71"/>
    </row>
    <row r="13" spans="1:20" x14ac:dyDescent="0.3">
      <c r="E13" s="5" t="s">
        <v>20</v>
      </c>
      <c r="F13" s="76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</row>
    <row r="14" spans="1:20" x14ac:dyDescent="0.3">
      <c r="E14" s="5" t="s">
        <v>19</v>
      </c>
      <c r="F14" s="76">
        <v>20223</v>
      </c>
      <c r="G14" s="8">
        <f>SUM(G15:G16)</f>
        <v>19388</v>
      </c>
      <c r="H14" s="8">
        <f>SUM(H15:H16)</f>
        <v>18124</v>
      </c>
      <c r="I14" s="8">
        <f>SUM(I15:I16)</f>
        <v>17152</v>
      </c>
      <c r="J14" s="8">
        <f>SUM(J15:J16)</f>
        <v>16536</v>
      </c>
      <c r="K14" s="8">
        <f>SUM(K15:K16)</f>
        <v>15893</v>
      </c>
      <c r="L14" s="8">
        <f>SUM(L15:L16)</f>
        <v>14183</v>
      </c>
      <c r="M14" s="8">
        <f>SUM(M15:M16)</f>
        <v>13252</v>
      </c>
      <c r="N14" s="8">
        <f>SUM(N15:N16)</f>
        <v>12487</v>
      </c>
      <c r="O14" s="8">
        <f>SUM(O15:O16)</f>
        <v>11754</v>
      </c>
      <c r="P14" s="8">
        <f>SUM(P15:P16)</f>
        <v>11315</v>
      </c>
      <c r="Q14" s="8">
        <f>SUM(Q15:Q16)</f>
        <v>10916</v>
      </c>
    </row>
    <row r="15" spans="1:20" x14ac:dyDescent="0.3">
      <c r="E15" s="14" t="s">
        <v>41</v>
      </c>
      <c r="F15" s="76">
        <v>1124</v>
      </c>
      <c r="G15" s="8">
        <v>1105</v>
      </c>
      <c r="H15" s="8">
        <v>1057</v>
      </c>
      <c r="I15" s="8">
        <v>1014</v>
      </c>
      <c r="J15" s="8">
        <v>979</v>
      </c>
      <c r="K15" s="8">
        <v>949</v>
      </c>
      <c r="L15" s="8">
        <v>910</v>
      </c>
      <c r="M15" s="8">
        <v>887</v>
      </c>
      <c r="N15" s="8">
        <v>853</v>
      </c>
      <c r="O15" s="8">
        <v>840</v>
      </c>
      <c r="P15" s="8">
        <v>831</v>
      </c>
      <c r="Q15" s="8">
        <v>805</v>
      </c>
    </row>
    <row r="16" spans="1:20" x14ac:dyDescent="0.3">
      <c r="E16" s="14" t="s">
        <v>40</v>
      </c>
      <c r="F16" s="76">
        <v>19099</v>
      </c>
      <c r="G16" s="8">
        <v>18283</v>
      </c>
      <c r="H16" s="8">
        <v>17067</v>
      </c>
      <c r="I16" s="8">
        <v>16138</v>
      </c>
      <c r="J16" s="8">
        <v>15557</v>
      </c>
      <c r="K16" s="8">
        <v>14944</v>
      </c>
      <c r="L16" s="8">
        <v>13273</v>
      </c>
      <c r="M16" s="8">
        <v>12365</v>
      </c>
      <c r="N16" s="8">
        <v>11634</v>
      </c>
      <c r="O16" s="8">
        <v>10914</v>
      </c>
      <c r="P16" s="8">
        <v>10484</v>
      </c>
      <c r="Q16" s="8">
        <v>10111</v>
      </c>
    </row>
    <row r="17" spans="1:107" x14ac:dyDescent="0.3">
      <c r="E17" s="5" t="s">
        <v>39</v>
      </c>
      <c r="F17" s="76">
        <v>969</v>
      </c>
      <c r="G17" s="8">
        <f>SUM(G20:G24)</f>
        <v>853</v>
      </c>
      <c r="H17" s="8">
        <f>SUM(H20:H24)</f>
        <v>1282</v>
      </c>
      <c r="I17" s="8">
        <f>SUM(I20:I24)</f>
        <v>948</v>
      </c>
      <c r="J17" s="8">
        <f>SUM(J20:J24)</f>
        <v>594</v>
      </c>
      <c r="K17" s="8">
        <f>SUM(K20:K24)</f>
        <v>620</v>
      </c>
      <c r="L17" s="8">
        <f>SUM(L20:L24)</f>
        <v>1593</v>
      </c>
      <c r="M17" s="8">
        <f>SUM(M20:M24)</f>
        <v>868</v>
      </c>
      <c r="N17" s="8">
        <f>SUM(N20:N24)</f>
        <v>718</v>
      </c>
      <c r="O17" s="8">
        <f>SUM(O20:O24)</f>
        <v>701</v>
      </c>
      <c r="P17" s="8">
        <f>SUM(P20:P24)</f>
        <v>427</v>
      </c>
      <c r="Q17" s="8">
        <f>SUM(Q20:Q24)</f>
        <v>341</v>
      </c>
    </row>
    <row r="18" spans="1:107" x14ac:dyDescent="0.3">
      <c r="E18" s="5" t="s">
        <v>15</v>
      </c>
      <c r="F18" s="76">
        <v>287</v>
      </c>
      <c r="G18" s="8">
        <v>579</v>
      </c>
      <c r="H18" s="8">
        <v>645</v>
      </c>
      <c r="I18" s="8">
        <v>281</v>
      </c>
      <c r="J18" s="8">
        <v>238</v>
      </c>
      <c r="K18" s="8">
        <v>469</v>
      </c>
      <c r="L18" s="8">
        <v>640</v>
      </c>
      <c r="M18" s="8">
        <v>203</v>
      </c>
      <c r="N18" s="8">
        <v>264</v>
      </c>
      <c r="O18" s="8">
        <v>298</v>
      </c>
      <c r="P18" s="8">
        <v>231</v>
      </c>
      <c r="Q18" s="8">
        <v>133</v>
      </c>
    </row>
    <row r="19" spans="1:107" x14ac:dyDescent="0.3">
      <c r="E19" s="5" t="s">
        <v>14</v>
      </c>
      <c r="F19" s="10">
        <v>2.5001935134298322E-2</v>
      </c>
      <c r="G19" s="10">
        <v>3.0658161499282997E-3</v>
      </c>
      <c r="H19" s="10">
        <f>IFERROR(H17/G14,0)</f>
        <v>6.6123375283680633E-2</v>
      </c>
      <c r="I19" s="10">
        <f>IFERROR(I17/H14,0)</f>
        <v>5.2306334142573387E-2</v>
      </c>
      <c r="J19" s="10">
        <f>IFERROR(J17/I14,0)</f>
        <v>3.4631529850746266E-2</v>
      </c>
      <c r="K19" s="10">
        <f>IFERROR(K17/J14,0)</f>
        <v>3.7493952588292211E-2</v>
      </c>
      <c r="L19" s="10">
        <f>IFERROR(L17/K14,0)</f>
        <v>0.10023280689611778</v>
      </c>
      <c r="M19" s="10">
        <f>IFERROR(M17/L14,0)</f>
        <v>6.1200028202777972E-2</v>
      </c>
      <c r="N19" s="10">
        <f>IFERROR(N17/M14,0)</f>
        <v>5.4180501056444313E-2</v>
      </c>
      <c r="O19" s="10">
        <f>IFERROR(O17/N14,0)</f>
        <v>5.6138383919276044E-2</v>
      </c>
      <c r="P19" s="10">
        <f>IFERROR(P17/O14,0)</f>
        <v>3.6328058533265269E-2</v>
      </c>
      <c r="Q19" s="10">
        <f>IFERROR(Q17/P14,0)</f>
        <v>3.0136986301369864E-2</v>
      </c>
    </row>
    <row r="20" spans="1:107" x14ac:dyDescent="0.3">
      <c r="E20" s="5" t="s">
        <v>13</v>
      </c>
      <c r="F20" s="76">
        <v>210</v>
      </c>
      <c r="G20" s="8">
        <v>155</v>
      </c>
      <c r="H20" s="8">
        <v>180</v>
      </c>
      <c r="I20" s="8">
        <v>157</v>
      </c>
      <c r="J20" s="8">
        <v>114</v>
      </c>
      <c r="K20" s="8">
        <v>129</v>
      </c>
      <c r="L20" s="8">
        <v>108</v>
      </c>
      <c r="M20" s="8">
        <v>117</v>
      </c>
      <c r="N20" s="8">
        <v>193</v>
      </c>
      <c r="O20" s="8">
        <v>117</v>
      </c>
      <c r="P20" s="8">
        <v>86</v>
      </c>
      <c r="Q20" s="8">
        <v>68</v>
      </c>
    </row>
    <row r="21" spans="1:107" x14ac:dyDescent="0.3">
      <c r="E21" s="5" t="s">
        <v>12</v>
      </c>
      <c r="F21" s="76">
        <v>580</v>
      </c>
      <c r="G21" s="8">
        <v>23</v>
      </c>
      <c r="H21" s="8">
        <v>4</v>
      </c>
      <c r="I21" s="8">
        <v>0</v>
      </c>
      <c r="J21" s="8">
        <v>196</v>
      </c>
      <c r="K21" s="8">
        <v>478</v>
      </c>
      <c r="L21" s="8">
        <v>1397</v>
      </c>
      <c r="M21" s="8">
        <v>695</v>
      </c>
      <c r="N21" s="8">
        <v>471</v>
      </c>
      <c r="O21" s="8">
        <v>538</v>
      </c>
      <c r="P21" s="8">
        <v>332</v>
      </c>
      <c r="Q21" s="8">
        <v>240</v>
      </c>
    </row>
    <row r="22" spans="1:107" x14ac:dyDescent="0.3">
      <c r="E22" s="5" t="s">
        <v>11</v>
      </c>
      <c r="F22" s="76">
        <v>147</v>
      </c>
      <c r="G22" s="8">
        <v>115</v>
      </c>
      <c r="H22" s="8">
        <v>215</v>
      </c>
      <c r="I22" s="8">
        <v>101</v>
      </c>
      <c r="J22" s="8">
        <v>2</v>
      </c>
      <c r="K22" s="8">
        <v>5</v>
      </c>
      <c r="L22" s="8">
        <v>83</v>
      </c>
      <c r="M22" s="8">
        <v>52</v>
      </c>
      <c r="N22" s="8">
        <v>45</v>
      </c>
      <c r="O22" s="8">
        <v>44</v>
      </c>
      <c r="P22" s="8">
        <v>6</v>
      </c>
      <c r="Q22" s="8">
        <v>24</v>
      </c>
    </row>
    <row r="23" spans="1:107" s="2" customFormat="1" x14ac:dyDescent="0.3">
      <c r="A23" s="1"/>
      <c r="B23" s="1"/>
      <c r="C23" s="1"/>
      <c r="E23" s="5" t="s">
        <v>50</v>
      </c>
      <c r="F23" s="78">
        <v>5</v>
      </c>
      <c r="G23" s="42">
        <v>5</v>
      </c>
      <c r="H23" s="42">
        <v>6</v>
      </c>
      <c r="I23" s="42">
        <v>1</v>
      </c>
      <c r="J23" s="42">
        <v>4</v>
      </c>
      <c r="K23" s="42">
        <v>3</v>
      </c>
      <c r="L23" s="42">
        <v>2</v>
      </c>
      <c r="M23" s="42">
        <v>3</v>
      </c>
      <c r="N23" s="42">
        <v>4</v>
      </c>
      <c r="O23" s="42">
        <v>0</v>
      </c>
      <c r="P23" s="42">
        <v>0</v>
      </c>
      <c r="Q23" s="42">
        <v>6</v>
      </c>
      <c r="S23" s="28"/>
      <c r="T23" s="28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</row>
    <row r="24" spans="1:107" s="2" customFormat="1" x14ac:dyDescent="0.3">
      <c r="A24" s="1"/>
      <c r="B24" s="1"/>
      <c r="C24" s="1"/>
      <c r="E24" s="5" t="s">
        <v>46</v>
      </c>
      <c r="F24" s="78">
        <v>27</v>
      </c>
      <c r="G24" s="42">
        <v>555</v>
      </c>
      <c r="H24" s="42">
        <v>877</v>
      </c>
      <c r="I24" s="42">
        <v>689</v>
      </c>
      <c r="J24" s="42">
        <v>278</v>
      </c>
      <c r="K24" s="42">
        <v>5</v>
      </c>
      <c r="L24" s="42">
        <v>3</v>
      </c>
      <c r="M24" s="42">
        <v>1</v>
      </c>
      <c r="N24" s="42">
        <v>5</v>
      </c>
      <c r="O24" s="42">
        <v>2</v>
      </c>
      <c r="P24" s="42">
        <v>3</v>
      </c>
      <c r="Q24" s="42">
        <v>3</v>
      </c>
      <c r="S24" s="28"/>
      <c r="T24" s="28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</row>
    <row r="25" spans="1:107" s="2" customFormat="1" x14ac:dyDescent="0.3">
      <c r="A25" s="1"/>
      <c r="B25" s="1"/>
      <c r="C25" s="1"/>
      <c r="E25" s="5" t="s">
        <v>6</v>
      </c>
      <c r="F25" s="23">
        <v>20696310.84</v>
      </c>
      <c r="G25" s="23">
        <v>19861346.940000169</v>
      </c>
      <c r="H25" s="23">
        <v>19737964.500000149</v>
      </c>
      <c r="I25" s="23">
        <v>18698622.259999726</v>
      </c>
      <c r="J25" s="23">
        <v>18062550.859999835</v>
      </c>
      <c r="K25" s="23">
        <v>17530788.829999842</v>
      </c>
      <c r="L25" s="23">
        <v>18054361.659999732</v>
      </c>
      <c r="M25" s="23">
        <v>16446949.479999773</v>
      </c>
      <c r="N25" s="23">
        <v>15289253.379999984</v>
      </c>
      <c r="O25" s="23">
        <v>14764066.010000013</v>
      </c>
      <c r="P25" s="23">
        <v>14589464.310000001</v>
      </c>
      <c r="Q25" s="23">
        <v>14070981.25000005</v>
      </c>
      <c r="S25" s="28"/>
      <c r="T25" s="28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</row>
    <row r="26" spans="1:107" s="2" customFormat="1" x14ac:dyDescent="0.3">
      <c r="A26" s="1"/>
      <c r="B26" s="1"/>
      <c r="C26" s="1"/>
      <c r="E26" s="5" t="s">
        <v>5</v>
      </c>
      <c r="F26" s="23">
        <v>19080213.609999973</v>
      </c>
      <c r="G26" s="23">
        <v>18421569.880000167</v>
      </c>
      <c r="H26" s="23">
        <v>18279815.180000138</v>
      </c>
      <c r="I26" s="23">
        <v>17154896.87999972</v>
      </c>
      <c r="J26" s="23">
        <v>16886609.999999832</v>
      </c>
      <c r="K26" s="23">
        <v>16123505.809999837</v>
      </c>
      <c r="L26" s="23">
        <v>16110828.709999725</v>
      </c>
      <c r="M26" s="23">
        <v>14730990.379999766</v>
      </c>
      <c r="N26" s="23">
        <v>13787678.279999981</v>
      </c>
      <c r="O26" s="23">
        <v>13413426.45000001</v>
      </c>
      <c r="P26" s="23">
        <v>13249978.9</v>
      </c>
      <c r="Q26" s="23">
        <v>12766279.42000005</v>
      </c>
      <c r="S26" s="28"/>
      <c r="T26" s="28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</row>
    <row r="27" spans="1:107" s="2" customFormat="1" x14ac:dyDescent="0.3">
      <c r="A27" s="1"/>
      <c r="B27" s="1"/>
      <c r="C27" s="1"/>
      <c r="E27" s="5" t="s">
        <v>49</v>
      </c>
      <c r="F27" s="10">
        <v>7.8086246505177925E-2</v>
      </c>
      <c r="G27" s="10">
        <v>0.94827107775248098</v>
      </c>
      <c r="H27" s="10">
        <f>IFERROR((1-H26/H25),0)</f>
        <v>7.3875364402443799E-2</v>
      </c>
      <c r="I27" s="10">
        <f>IFERROR((1-I26/I25),0)</f>
        <v>8.2558241914023722E-2</v>
      </c>
      <c r="J27" s="10">
        <f>IFERROR((1-J26/J25),0)</f>
        <v>6.5103808931227247E-2</v>
      </c>
      <c r="K27" s="10">
        <f>IFERROR((1-K26/K25),0)</f>
        <v>8.0274939915525589E-2</v>
      </c>
      <c r="L27" s="10">
        <f>IFERROR((1-L26/L25),0)</f>
        <v>0.10764894304216766</v>
      </c>
      <c r="M27" s="10">
        <f>IFERROR((1-M26/M25),0)</f>
        <v>0.10433297080937043</v>
      </c>
      <c r="N27" s="10">
        <f>IFERROR((1-N26/N25),0)</f>
        <v>9.8211146265927418E-2</v>
      </c>
      <c r="O27" s="10">
        <f>IFERROR((1-O26/O25),0)</f>
        <v>9.1481544385211055E-2</v>
      </c>
      <c r="P27" s="10">
        <f>IFERROR((1-P26/P25),0)</f>
        <v>9.1811829518776866E-2</v>
      </c>
      <c r="Q27" s="10">
        <f>IFERROR((1-Q26/Q25),0)</f>
        <v>9.2722874604071803E-2</v>
      </c>
      <c r="S27" s="28"/>
      <c r="T27" s="28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</row>
    <row r="28" spans="1:107" s="2" customFormat="1" x14ac:dyDescent="0.3">
      <c r="A28" s="1"/>
      <c r="B28" s="1"/>
      <c r="C28" s="1"/>
      <c r="E28" s="5" t="s">
        <v>3</v>
      </c>
      <c r="F28" s="76">
        <v>45</v>
      </c>
      <c r="G28" s="8">
        <v>34</v>
      </c>
      <c r="H28" s="8">
        <v>35</v>
      </c>
      <c r="I28" s="8">
        <v>10</v>
      </c>
      <c r="J28" s="8">
        <v>6</v>
      </c>
      <c r="K28" s="8">
        <v>7</v>
      </c>
      <c r="L28" s="8">
        <v>1</v>
      </c>
      <c r="M28" s="8">
        <v>6</v>
      </c>
      <c r="N28" s="8">
        <v>0</v>
      </c>
      <c r="O28" s="8">
        <v>6</v>
      </c>
      <c r="P28" s="8">
        <v>1</v>
      </c>
      <c r="Q28" s="8">
        <v>1</v>
      </c>
      <c r="S28" s="28"/>
      <c r="T28" s="28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</row>
    <row r="29" spans="1:107" s="2" customFormat="1" x14ac:dyDescent="0.3">
      <c r="A29" s="1"/>
      <c r="B29" s="1"/>
      <c r="C29" s="1"/>
      <c r="E29" s="5" t="s">
        <v>2</v>
      </c>
      <c r="F29" s="75">
        <v>1023.4045809227117</v>
      </c>
      <c r="G29" s="24">
        <v>659.02166261835612</v>
      </c>
      <c r="H29" s="24">
        <f>IFERROR(H25/H14,0)</f>
        <v>1089.0512304127205</v>
      </c>
      <c r="I29" s="24">
        <f>IFERROR(I25/I14,0)</f>
        <v>1090.1715403451333</v>
      </c>
      <c r="J29" s="24">
        <f>IFERROR(J25/J14,0)</f>
        <v>1092.3168154329846</v>
      </c>
      <c r="K29" s="24">
        <f>IFERROR(K25/K14,0)</f>
        <v>1103.0509551374719</v>
      </c>
      <c r="L29" s="24">
        <f>IFERROR(L25/L14,0)</f>
        <v>1272.9578833814942</v>
      </c>
      <c r="M29" s="24">
        <f>IFERROR(M25/M14,0)</f>
        <v>1241.0918714156182</v>
      </c>
      <c r="N29" s="24">
        <f>IFERROR(N25/N14,0)</f>
        <v>1224.4136606070301</v>
      </c>
      <c r="O29" s="24">
        <f>IFERROR(O25/O14,0)</f>
        <v>1256.0886515228869</v>
      </c>
      <c r="P29" s="24">
        <f>IFERROR(P25/P14,0)</f>
        <v>1289.3914547061424</v>
      </c>
      <c r="Q29" s="24">
        <f>IFERROR(Q25/Q14,0)</f>
        <v>1289.0235663246656</v>
      </c>
      <c r="S29" s="28"/>
      <c r="T29" s="28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</row>
    <row r="30" spans="1:107" s="2" customFormat="1" x14ac:dyDescent="0.3">
      <c r="A30" s="1"/>
      <c r="B30" s="1"/>
      <c r="C30" s="1"/>
      <c r="E30" s="5" t="s">
        <v>1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S30" s="28"/>
      <c r="T30" s="28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 s="2" customFormat="1" x14ac:dyDescent="0.3">
      <c r="A31" s="1"/>
      <c r="B31" s="1"/>
      <c r="C31" s="1"/>
      <c r="E31" s="5" t="s">
        <v>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S31" s="28"/>
      <c r="T31" s="28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 s="2" customFormat="1" ht="1.95" customHeight="1" x14ac:dyDescent="0.3">
      <c r="F32" s="55"/>
      <c r="G32" s="55"/>
      <c r="H32" s="55"/>
      <c r="I32" s="61"/>
      <c r="J32" s="55"/>
      <c r="K32" s="60"/>
      <c r="L32" s="29"/>
      <c r="M32" s="29"/>
      <c r="N32" s="29"/>
      <c r="O32" s="29"/>
      <c r="P32" s="29"/>
      <c r="Q32" s="29"/>
      <c r="S32" s="28"/>
      <c r="T32" s="28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 s="2" customFormat="1" hidden="1" x14ac:dyDescent="0.3">
      <c r="F33" s="55">
        <v>10698</v>
      </c>
      <c r="G33" s="55">
        <v>10487</v>
      </c>
      <c r="H33" s="55">
        <f>G37-H40+H51</f>
        <v>9913</v>
      </c>
      <c r="I33" s="55">
        <f>H37-I40+I51</f>
        <v>9656</v>
      </c>
      <c r="J33" s="55">
        <f>I37-J40+J51</f>
        <v>9506</v>
      </c>
      <c r="K33" s="55">
        <f>J37-K40+K51</f>
        <v>9391</v>
      </c>
      <c r="L33" s="55">
        <f>K37-L40+L51</f>
        <v>7916</v>
      </c>
      <c r="M33" s="55">
        <f>L37-M40+M51</f>
        <v>8857</v>
      </c>
      <c r="N33" s="55">
        <f>M37-N40+N51</f>
        <v>8447</v>
      </c>
      <c r="O33" s="55">
        <f>N37-O40+O51</f>
        <v>8232</v>
      </c>
      <c r="P33" s="55">
        <f>O37-P40+P51</f>
        <v>7971</v>
      </c>
      <c r="Q33" s="29"/>
      <c r="S33" s="28"/>
      <c r="T33" s="28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 s="2" customFormat="1" hidden="1" x14ac:dyDescent="0.3">
      <c r="F34" s="55">
        <f>F37-F33</f>
        <v>-489</v>
      </c>
      <c r="G34" s="55">
        <v>0</v>
      </c>
      <c r="H34" s="55">
        <f>H37-H33</f>
        <v>15</v>
      </c>
      <c r="I34" s="55">
        <f>I37-I33</f>
        <v>34</v>
      </c>
      <c r="J34" s="55">
        <f>J37-J33</f>
        <v>18</v>
      </c>
      <c r="K34" s="55">
        <f>K37-K33</f>
        <v>41</v>
      </c>
      <c r="L34" s="55">
        <f>L37-L33</f>
        <v>1207</v>
      </c>
      <c r="M34" s="55">
        <f>M37-M33</f>
        <v>-20</v>
      </c>
      <c r="N34" s="55">
        <f>N37-N33</f>
        <v>11</v>
      </c>
      <c r="O34" s="55">
        <f>O37-O33</f>
        <v>7</v>
      </c>
      <c r="P34" s="55">
        <f>P37-P33</f>
        <v>5</v>
      </c>
      <c r="Q34" s="29"/>
      <c r="S34" s="28"/>
      <c r="T34" s="28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  <row r="35" spans="1:107" s="2" customFormat="1" x14ac:dyDescent="0.3">
      <c r="A35" s="1"/>
      <c r="B35" s="1"/>
      <c r="C35" s="1"/>
      <c r="E35" s="54" t="s">
        <v>33</v>
      </c>
      <c r="F35" s="54" t="s">
        <v>32</v>
      </c>
      <c r="G35" s="54" t="s">
        <v>31</v>
      </c>
      <c r="H35" s="54" t="s">
        <v>30</v>
      </c>
      <c r="I35" s="54" t="s">
        <v>29</v>
      </c>
      <c r="J35" s="54" t="s">
        <v>28</v>
      </c>
      <c r="K35" s="54" t="s">
        <v>27</v>
      </c>
      <c r="L35" s="54" t="s">
        <v>26</v>
      </c>
      <c r="M35" s="54" t="s">
        <v>25</v>
      </c>
      <c r="N35" s="54" t="s">
        <v>24</v>
      </c>
      <c r="O35" s="54" t="s">
        <v>23</v>
      </c>
      <c r="P35" s="54" t="s">
        <v>22</v>
      </c>
      <c r="Q35" s="54" t="s">
        <v>21</v>
      </c>
      <c r="S35" s="28"/>
      <c r="T35" s="28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</row>
    <row r="36" spans="1:107" x14ac:dyDescent="0.3">
      <c r="E36" s="5" t="s">
        <v>20</v>
      </c>
      <c r="F36" s="76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</row>
    <row r="37" spans="1:107" s="2" customFormat="1" x14ac:dyDescent="0.3">
      <c r="A37" s="1"/>
      <c r="B37" s="1"/>
      <c r="C37" s="1"/>
      <c r="E37" s="5" t="s">
        <v>19</v>
      </c>
      <c r="F37" s="76">
        <v>10209</v>
      </c>
      <c r="G37" s="8">
        <f>SUM(G38:G39)</f>
        <v>10126</v>
      </c>
      <c r="H37" s="8">
        <f>SUM(H38:H39)</f>
        <v>9928</v>
      </c>
      <c r="I37" s="8">
        <f>SUM(I38:I39)</f>
        <v>9690</v>
      </c>
      <c r="J37" s="8">
        <f>SUM(J38:J39)</f>
        <v>9524</v>
      </c>
      <c r="K37" s="8">
        <f>SUM(K38:K39)</f>
        <v>9432</v>
      </c>
      <c r="L37" s="8">
        <f>SUM(L38:L39)</f>
        <v>9123</v>
      </c>
      <c r="M37" s="8">
        <f>SUM(M38:M39)</f>
        <v>8837</v>
      </c>
      <c r="N37" s="8">
        <f>SUM(N38:N39)</f>
        <v>8458</v>
      </c>
      <c r="O37" s="8">
        <f>SUM(O38:O39)</f>
        <v>8239</v>
      </c>
      <c r="P37" s="8">
        <f>SUM(P38:P39)</f>
        <v>7976</v>
      </c>
      <c r="Q37" s="8">
        <f>SUM(Q38:Q39)</f>
        <v>7784</v>
      </c>
      <c r="S37" s="28"/>
      <c r="T37" s="2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</row>
    <row r="38" spans="1:107" s="2" customFormat="1" x14ac:dyDescent="0.3">
      <c r="A38" s="1"/>
      <c r="B38" s="1"/>
      <c r="C38" s="1"/>
      <c r="E38" s="14" t="s">
        <v>41</v>
      </c>
      <c r="F38" s="76">
        <v>388</v>
      </c>
      <c r="G38" s="8">
        <v>379</v>
      </c>
      <c r="H38" s="8">
        <v>379</v>
      </c>
      <c r="I38" s="8">
        <v>359</v>
      </c>
      <c r="J38" s="8">
        <v>363</v>
      </c>
      <c r="K38" s="8">
        <v>359</v>
      </c>
      <c r="L38" s="8">
        <v>375</v>
      </c>
      <c r="M38" s="8">
        <v>338</v>
      </c>
      <c r="N38" s="8">
        <v>343</v>
      </c>
      <c r="O38" s="8">
        <v>339</v>
      </c>
      <c r="P38" s="8">
        <v>328</v>
      </c>
      <c r="Q38" s="8">
        <v>330</v>
      </c>
      <c r="S38" s="28"/>
      <c r="T38" s="2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</row>
    <row r="39" spans="1:107" s="2" customFormat="1" x14ac:dyDescent="0.3">
      <c r="A39" s="1"/>
      <c r="B39" s="1"/>
      <c r="C39" s="1"/>
      <c r="E39" s="14" t="s">
        <v>40</v>
      </c>
      <c r="F39" s="76">
        <v>9821</v>
      </c>
      <c r="G39" s="8">
        <v>9747</v>
      </c>
      <c r="H39" s="8">
        <v>9549</v>
      </c>
      <c r="I39" s="8">
        <v>9331</v>
      </c>
      <c r="J39" s="8">
        <v>9161</v>
      </c>
      <c r="K39" s="8">
        <v>9073</v>
      </c>
      <c r="L39" s="8">
        <v>8748</v>
      </c>
      <c r="M39" s="8">
        <v>8499</v>
      </c>
      <c r="N39" s="8">
        <v>8115</v>
      </c>
      <c r="O39" s="8">
        <v>7900</v>
      </c>
      <c r="P39" s="8">
        <v>7648</v>
      </c>
      <c r="Q39" s="8">
        <v>7454</v>
      </c>
      <c r="S39" s="28"/>
      <c r="T39" s="2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</row>
    <row r="40" spans="1:107" s="2" customFormat="1" x14ac:dyDescent="0.3">
      <c r="A40" s="1"/>
      <c r="B40" s="1"/>
      <c r="C40" s="1"/>
      <c r="E40" s="5" t="s">
        <v>39</v>
      </c>
      <c r="F40" s="76">
        <v>532</v>
      </c>
      <c r="G40" s="8">
        <f>SUM(G43:G47)</f>
        <v>484</v>
      </c>
      <c r="H40" s="8">
        <f>SUM(H43:H47)</f>
        <v>544</v>
      </c>
      <c r="I40" s="8">
        <f>SUM(I43:I47)</f>
        <v>622</v>
      </c>
      <c r="J40" s="8">
        <f>SUM(J43:J47)</f>
        <v>455</v>
      </c>
      <c r="K40" s="8">
        <f>SUM(K43:K47)</f>
        <v>571</v>
      </c>
      <c r="L40" s="8">
        <f>SUM(L43:L47)</f>
        <v>2609</v>
      </c>
      <c r="M40" s="8">
        <f>SUM(M43:M47)</f>
        <v>656</v>
      </c>
      <c r="N40" s="8">
        <f>SUM(N43:N47)</f>
        <v>657</v>
      </c>
      <c r="O40" s="8">
        <f>SUM(O43:O47)</f>
        <v>419</v>
      </c>
      <c r="P40" s="8">
        <f>SUM(P43:P47)</f>
        <v>391</v>
      </c>
      <c r="Q40" s="8">
        <f>SUM(Q43:Q47)</f>
        <v>297</v>
      </c>
      <c r="S40" s="28"/>
      <c r="T40" s="2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</row>
    <row r="41" spans="1:107" s="2" customFormat="1" x14ac:dyDescent="0.3">
      <c r="A41" s="1"/>
      <c r="B41" s="1"/>
      <c r="C41" s="1"/>
      <c r="E41" s="5" t="s">
        <v>15</v>
      </c>
      <c r="F41" s="76">
        <v>92</v>
      </c>
      <c r="G41" s="8">
        <v>57</v>
      </c>
      <c r="H41" s="8">
        <v>139</v>
      </c>
      <c r="I41" s="8">
        <v>79</v>
      </c>
      <c r="J41" s="8">
        <v>48</v>
      </c>
      <c r="K41" s="8">
        <v>287</v>
      </c>
      <c r="L41" s="8">
        <v>255</v>
      </c>
      <c r="M41" s="8">
        <v>109</v>
      </c>
      <c r="N41" s="8">
        <v>65</v>
      </c>
      <c r="O41" s="8">
        <v>56</v>
      </c>
      <c r="P41" s="8">
        <v>45</v>
      </c>
      <c r="Q41" s="8">
        <v>37</v>
      </c>
      <c r="S41" s="28"/>
      <c r="T41" s="2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</row>
    <row r="42" spans="1:107" s="2" customFormat="1" x14ac:dyDescent="0.3">
      <c r="A42" s="1"/>
      <c r="B42" s="1"/>
      <c r="C42" s="1"/>
      <c r="E42" s="5" t="s">
        <v>14</v>
      </c>
      <c r="F42" s="10">
        <v>5.0354945575011835E-2</v>
      </c>
      <c r="G42" s="10">
        <v>2.3508668821627977E-3</v>
      </c>
      <c r="H42" s="10">
        <f>IFERROR(H40/G37,0)</f>
        <v>5.3723089077621966E-2</v>
      </c>
      <c r="I42" s="10">
        <f>IFERROR(I40/H37,0)</f>
        <v>6.2651087832393232E-2</v>
      </c>
      <c r="J42" s="10">
        <f>IFERROR(J40/I37,0)</f>
        <v>4.6955624355005159E-2</v>
      </c>
      <c r="K42" s="10">
        <f>IFERROR(K40/J37,0)</f>
        <v>5.9953800923981518E-2</v>
      </c>
      <c r="L42" s="10">
        <f>IFERROR(L40/K37,0)</f>
        <v>0.27661153519932147</v>
      </c>
      <c r="M42" s="10">
        <f>IFERROR(M40/L37,0)</f>
        <v>7.1906171215608897E-2</v>
      </c>
      <c r="N42" s="10">
        <f>IFERROR(N40/M37,0)</f>
        <v>7.4346497680208221E-2</v>
      </c>
      <c r="O42" s="10">
        <f>IFERROR(O40/N37,0)</f>
        <v>4.9538898084653581E-2</v>
      </c>
      <c r="P42" s="10">
        <f>IFERROR(P40/O37,0)</f>
        <v>4.7457215681514744E-2</v>
      </c>
      <c r="Q42" s="10">
        <f>IFERROR(Q40/P37,0)</f>
        <v>3.7236710130391176E-2</v>
      </c>
      <c r="S42" s="28"/>
      <c r="T42" s="2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 spans="1:107" s="2" customFormat="1" x14ac:dyDescent="0.3">
      <c r="A43" s="1"/>
      <c r="B43" s="1"/>
      <c r="C43" s="1"/>
      <c r="E43" s="5" t="s">
        <v>13</v>
      </c>
      <c r="F43" s="76">
        <v>251</v>
      </c>
      <c r="G43" s="8">
        <v>223</v>
      </c>
      <c r="H43" s="8">
        <v>229</v>
      </c>
      <c r="I43" s="8">
        <v>246</v>
      </c>
      <c r="J43" s="8">
        <v>202</v>
      </c>
      <c r="K43" s="8">
        <v>202</v>
      </c>
      <c r="L43" s="8">
        <v>196</v>
      </c>
      <c r="M43" s="8">
        <v>217</v>
      </c>
      <c r="N43" s="8">
        <v>321</v>
      </c>
      <c r="O43" s="8">
        <v>188</v>
      </c>
      <c r="P43" s="8">
        <v>177</v>
      </c>
      <c r="Q43" s="8">
        <v>122</v>
      </c>
      <c r="S43" s="28"/>
      <c r="T43" s="2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</row>
    <row r="44" spans="1:107" s="2" customFormat="1" x14ac:dyDescent="0.3">
      <c r="A44" s="1"/>
      <c r="B44" s="1"/>
      <c r="C44" s="1"/>
      <c r="E44" s="5" t="s">
        <v>12</v>
      </c>
      <c r="F44" s="76">
        <v>229</v>
      </c>
      <c r="G44" s="8">
        <v>9</v>
      </c>
      <c r="H44" s="8">
        <v>1</v>
      </c>
      <c r="I44" s="8">
        <v>0</v>
      </c>
      <c r="J44" s="8">
        <v>89</v>
      </c>
      <c r="K44" s="8">
        <v>258</v>
      </c>
      <c r="L44" s="8">
        <v>1079</v>
      </c>
      <c r="M44" s="8">
        <v>327</v>
      </c>
      <c r="N44" s="8">
        <v>213</v>
      </c>
      <c r="O44" s="8">
        <v>186</v>
      </c>
      <c r="P44" s="8">
        <v>156</v>
      </c>
      <c r="Q44" s="8">
        <v>136</v>
      </c>
      <c r="S44" s="28"/>
      <c r="T44" s="2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</row>
    <row r="45" spans="1:107" s="2" customFormat="1" x14ac:dyDescent="0.3">
      <c r="A45" s="1"/>
      <c r="B45" s="1"/>
      <c r="C45" s="1"/>
      <c r="E45" s="5" t="s">
        <v>11</v>
      </c>
      <c r="F45" s="76">
        <v>51</v>
      </c>
      <c r="G45" s="8">
        <v>55</v>
      </c>
      <c r="H45" s="8">
        <v>52</v>
      </c>
      <c r="I45" s="8">
        <v>54</v>
      </c>
      <c r="J45" s="8">
        <v>46</v>
      </c>
      <c r="K45" s="8">
        <v>57</v>
      </c>
      <c r="L45" s="8">
        <v>142</v>
      </c>
      <c r="M45" s="8">
        <v>90</v>
      </c>
      <c r="N45" s="8">
        <v>65</v>
      </c>
      <c r="O45" s="8">
        <v>43</v>
      </c>
      <c r="P45" s="8">
        <v>55</v>
      </c>
      <c r="Q45" s="8">
        <v>38</v>
      </c>
      <c r="S45" s="28"/>
      <c r="T45" s="2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</row>
    <row r="46" spans="1:107" s="2" customFormat="1" x14ac:dyDescent="0.3">
      <c r="A46" s="1"/>
      <c r="B46" s="1"/>
      <c r="C46" s="1"/>
      <c r="E46" s="5" t="s">
        <v>50</v>
      </c>
      <c r="F46" s="78">
        <v>0</v>
      </c>
      <c r="G46" s="42">
        <v>1</v>
      </c>
      <c r="H46" s="42">
        <v>2</v>
      </c>
      <c r="I46" s="42">
        <v>0</v>
      </c>
      <c r="J46" s="42">
        <v>0</v>
      </c>
      <c r="K46" s="42">
        <v>0</v>
      </c>
      <c r="L46" s="42">
        <v>0</v>
      </c>
      <c r="M46" s="42">
        <v>1</v>
      </c>
      <c r="N46" s="42">
        <v>0</v>
      </c>
      <c r="O46" s="42">
        <v>0</v>
      </c>
      <c r="P46" s="42">
        <v>0</v>
      </c>
      <c r="Q46" s="42">
        <v>1</v>
      </c>
      <c r="S46" s="28"/>
      <c r="T46" s="2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</row>
    <row r="47" spans="1:107" s="2" customFormat="1" x14ac:dyDescent="0.3">
      <c r="A47" s="1"/>
      <c r="B47" s="1"/>
      <c r="C47" s="1"/>
      <c r="E47" s="5" t="s">
        <v>46</v>
      </c>
      <c r="F47" s="78">
        <v>1</v>
      </c>
      <c r="G47" s="42">
        <v>196</v>
      </c>
      <c r="H47" s="42">
        <v>260</v>
      </c>
      <c r="I47" s="42">
        <v>322</v>
      </c>
      <c r="J47" s="42">
        <v>118</v>
      </c>
      <c r="K47" s="42">
        <v>54</v>
      </c>
      <c r="L47" s="42">
        <v>1192</v>
      </c>
      <c r="M47" s="42">
        <v>21</v>
      </c>
      <c r="N47" s="42">
        <v>58</v>
      </c>
      <c r="O47" s="42">
        <v>2</v>
      </c>
      <c r="P47" s="42">
        <v>3</v>
      </c>
      <c r="Q47" s="42">
        <v>0</v>
      </c>
      <c r="S47" s="28"/>
      <c r="T47" s="2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s="2" customFormat="1" x14ac:dyDescent="0.3">
      <c r="A48" s="1"/>
      <c r="B48" s="1"/>
      <c r="C48" s="1"/>
      <c r="E48" s="5" t="s">
        <v>6</v>
      </c>
      <c r="F48" s="23">
        <v>4468101.819999937</v>
      </c>
      <c r="G48" s="23">
        <v>4417062.2199999476</v>
      </c>
      <c r="H48" s="23">
        <v>4364064.4699999383</v>
      </c>
      <c r="I48" s="23">
        <v>4261267.0299999453</v>
      </c>
      <c r="J48" s="23">
        <v>4157318.7999999477</v>
      </c>
      <c r="K48" s="23">
        <v>4114843.0899999579</v>
      </c>
      <c r="L48" s="23">
        <v>4704675.8300000476</v>
      </c>
      <c r="M48" s="23">
        <v>4590624.6899999976</v>
      </c>
      <c r="N48" s="23">
        <v>4388274.1299999785</v>
      </c>
      <c r="O48" s="23">
        <v>4273680.8100000517</v>
      </c>
      <c r="P48" s="23">
        <v>4119052.6000000043</v>
      </c>
      <c r="Q48" s="23">
        <v>4015079.1400000071</v>
      </c>
      <c r="S48" s="28"/>
      <c r="T48" s="2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s="2" customFormat="1" x14ac:dyDescent="0.3">
      <c r="A49" s="1"/>
      <c r="B49" s="1"/>
      <c r="C49" s="1"/>
      <c r="E49" s="5" t="s">
        <v>5</v>
      </c>
      <c r="F49" s="23">
        <v>3896540.8999999375</v>
      </c>
      <c r="G49" s="23">
        <v>3877393.5999999493</v>
      </c>
      <c r="H49" s="23">
        <v>3798805.2199999411</v>
      </c>
      <c r="I49" s="23">
        <v>3728914.8599999459</v>
      </c>
      <c r="J49" s="23">
        <v>3742180.8399999482</v>
      </c>
      <c r="K49" s="23">
        <v>3588679.3999999599</v>
      </c>
      <c r="L49" s="23">
        <v>4044753.8100000527</v>
      </c>
      <c r="M49" s="23">
        <v>3990550.52</v>
      </c>
      <c r="N49" s="23">
        <v>3833540.5099999802</v>
      </c>
      <c r="O49" s="23">
        <v>3827804.5100000538</v>
      </c>
      <c r="P49" s="23">
        <v>3632552.3800000055</v>
      </c>
      <c r="Q49" s="23">
        <v>3504147.450000009</v>
      </c>
      <c r="S49" s="28"/>
      <c r="T49" s="2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s="2" customFormat="1" x14ac:dyDescent="0.3">
      <c r="A50" s="1"/>
      <c r="B50" s="1"/>
      <c r="C50" s="1"/>
      <c r="E50" s="5" t="s">
        <v>49</v>
      </c>
      <c r="F50" s="10">
        <v>0.1279202988261372</v>
      </c>
      <c r="G50" s="10">
        <v>0.94202669405905604</v>
      </c>
      <c r="H50" s="10">
        <f>IFERROR((1-H49/H48),0)</f>
        <v>0.12952587063866294</v>
      </c>
      <c r="I50" s="10">
        <f>IFERROR((1-I49/I48),0)</f>
        <v>0.12492814138427888</v>
      </c>
      <c r="J50" s="10">
        <f>IFERROR((1-J49/J48),0)</f>
        <v>9.9857138692371783E-2</v>
      </c>
      <c r="K50" s="10">
        <f>IFERROR((1-K49/K48),0)</f>
        <v>0.12786968506252405</v>
      </c>
      <c r="L50" s="10">
        <f>IFERROR((1-L49/L48),0)</f>
        <v>0.14026939237596492</v>
      </c>
      <c r="M50" s="10">
        <f>IFERROR((1-M49/M48),0)</f>
        <v>0.1307173229184192</v>
      </c>
      <c r="N50" s="10">
        <f>IFERROR((1-N49/N48),0)</f>
        <v>0.12641270886146783</v>
      </c>
      <c r="O50" s="10">
        <f>IFERROR((1-O49/O48),0)</f>
        <v>0.1043307443449415</v>
      </c>
      <c r="P50" s="10">
        <f>IFERROR((1-P49/P48),0)</f>
        <v>0.11810973717597062</v>
      </c>
      <c r="Q50" s="10">
        <f>IFERROR((1-Q49/Q48),0)</f>
        <v>0.12725320527554962</v>
      </c>
      <c r="S50" s="28"/>
      <c r="T50" s="2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s="2" customFormat="1" x14ac:dyDescent="0.3">
      <c r="A51" s="1"/>
      <c r="B51" s="1"/>
      <c r="C51" s="1"/>
      <c r="E51" s="5" t="s">
        <v>3</v>
      </c>
      <c r="F51" s="76">
        <v>369</v>
      </c>
      <c r="G51" s="8">
        <v>392</v>
      </c>
      <c r="H51" s="8">
        <v>331</v>
      </c>
      <c r="I51" s="8">
        <v>350</v>
      </c>
      <c r="J51" s="8">
        <v>271</v>
      </c>
      <c r="K51" s="8">
        <v>438</v>
      </c>
      <c r="L51" s="8">
        <v>1093</v>
      </c>
      <c r="M51" s="8">
        <v>390</v>
      </c>
      <c r="N51" s="8">
        <v>267</v>
      </c>
      <c r="O51" s="8">
        <v>193</v>
      </c>
      <c r="P51" s="8">
        <v>123</v>
      </c>
      <c r="Q51" s="8">
        <v>135</v>
      </c>
      <c r="S51" s="28"/>
      <c r="T51" s="2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s="2" customFormat="1" x14ac:dyDescent="0.3">
      <c r="A52" s="1"/>
      <c r="B52" s="1"/>
      <c r="C52" s="1"/>
      <c r="E52" s="5" t="s">
        <v>2</v>
      </c>
      <c r="F52" s="75">
        <v>437.66302478204886</v>
      </c>
      <c r="G52" s="24">
        <v>240.34756174310886</v>
      </c>
      <c r="H52" s="24">
        <f>IFERROR(H48/H37,0)</f>
        <v>439.57136079773755</v>
      </c>
      <c r="I52" s="24">
        <f>IFERROR(I48/I37,0)</f>
        <v>439.75923942207896</v>
      </c>
      <c r="J52" s="24">
        <f>IFERROR(J48/J37,0)</f>
        <v>436.50974380511838</v>
      </c>
      <c r="K52" s="24">
        <f>IFERROR(K48/K37,0)</f>
        <v>436.26411047497436</v>
      </c>
      <c r="L52" s="24">
        <f>IFERROR(L48/L37,0)</f>
        <v>515.69394168585416</v>
      </c>
      <c r="M52" s="24">
        <f>IFERROR(M48/M37,0)</f>
        <v>519.47772886726239</v>
      </c>
      <c r="N52" s="24">
        <f>IFERROR(N48/N37,0)</f>
        <v>518.83118113028831</v>
      </c>
      <c r="O52" s="24">
        <f>IFERROR(O48/O37,0)</f>
        <v>518.71353440952203</v>
      </c>
      <c r="P52" s="24">
        <f>IFERROR(P48/P37,0)</f>
        <v>516.43086760280892</v>
      </c>
      <c r="Q52" s="24">
        <f>IFERROR(Q48/Q37,0)</f>
        <v>515.81181140801732</v>
      </c>
      <c r="S52" s="28"/>
      <c r="T52" s="2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s="2" customFormat="1" x14ac:dyDescent="0.3">
      <c r="A53" s="1"/>
      <c r="B53" s="1"/>
      <c r="C53" s="1"/>
      <c r="E53" s="5" t="s">
        <v>1</v>
      </c>
      <c r="F53" s="56">
        <v>0</v>
      </c>
      <c r="G53" s="56">
        <v>0</v>
      </c>
      <c r="H53" s="56">
        <v>0</v>
      </c>
      <c r="I53" s="56">
        <v>0</v>
      </c>
      <c r="J53" s="56">
        <v>0</v>
      </c>
      <c r="K53" s="56">
        <v>0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S53" s="28"/>
      <c r="T53" s="2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s="2" customFormat="1" x14ac:dyDescent="0.3">
      <c r="A54" s="1"/>
      <c r="B54" s="1"/>
      <c r="C54" s="1"/>
      <c r="E54" s="5" t="s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S54" s="28"/>
      <c r="T54" s="2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s="2" customFormat="1" ht="3" customHeight="1" x14ac:dyDescent="0.3">
      <c r="F55" s="55"/>
      <c r="G55" s="55"/>
      <c r="H55" s="55"/>
      <c r="I55" s="61"/>
      <c r="J55" s="55"/>
      <c r="K55" s="60"/>
      <c r="L55" s="29"/>
      <c r="M55" s="29"/>
      <c r="N55" s="29"/>
      <c r="O55" s="29"/>
      <c r="P55" s="29"/>
      <c r="Q55" s="29"/>
      <c r="S55" s="28"/>
      <c r="T55" s="2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s="2" customFormat="1" hidden="1" x14ac:dyDescent="0.3">
      <c r="F56" s="55">
        <v>40</v>
      </c>
      <c r="G56" s="55">
        <v>20</v>
      </c>
      <c r="H56" s="55">
        <f>G59-H62+H73</f>
        <v>23</v>
      </c>
      <c r="I56" s="55">
        <f>H59-I62+I73</f>
        <v>23</v>
      </c>
      <c r="J56" s="55">
        <f>I59-J62+J73</f>
        <v>21</v>
      </c>
      <c r="K56" s="55">
        <f>J59-K62+K73</f>
        <v>21</v>
      </c>
      <c r="L56" s="55">
        <f>K59-L62+L73</f>
        <v>21</v>
      </c>
      <c r="M56" s="55">
        <f>L59-M62+M73</f>
        <v>18</v>
      </c>
      <c r="N56" s="55">
        <f>M59-N62+N73</f>
        <v>18</v>
      </c>
      <c r="O56" s="55">
        <f>N59-O62+O73</f>
        <v>16</v>
      </c>
      <c r="P56" s="55">
        <f>O59-P62+P73</f>
        <v>16</v>
      </c>
      <c r="Q56" s="29"/>
      <c r="S56" s="28"/>
      <c r="T56" s="2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s="2" customFormat="1" hidden="1" x14ac:dyDescent="0.3">
      <c r="F57" s="55">
        <f>F59-F56</f>
        <v>-20</v>
      </c>
      <c r="G57" s="55">
        <v>0</v>
      </c>
      <c r="H57" s="55">
        <f>H59-H56</f>
        <v>0</v>
      </c>
      <c r="I57" s="55">
        <f>I59-I56</f>
        <v>-1</v>
      </c>
      <c r="J57" s="55">
        <f>J59-J56</f>
        <v>1</v>
      </c>
      <c r="K57" s="55">
        <f>K59-K56</f>
        <v>0</v>
      </c>
      <c r="L57" s="55">
        <f>L59-L56</f>
        <v>-3</v>
      </c>
      <c r="M57" s="55">
        <f>M59-M56</f>
        <v>0</v>
      </c>
      <c r="N57" s="55">
        <f>N59-N56</f>
        <v>0</v>
      </c>
      <c r="O57" s="55">
        <f>O59-O56</f>
        <v>0</v>
      </c>
      <c r="P57" s="55">
        <f>P59-P56</f>
        <v>0</v>
      </c>
      <c r="Q57" s="29"/>
      <c r="S57" s="28"/>
      <c r="T57" s="2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s="2" customFormat="1" x14ac:dyDescent="0.3">
      <c r="A58" s="1"/>
      <c r="B58" s="1"/>
      <c r="C58" s="1"/>
      <c r="E58" s="54" t="s">
        <v>33</v>
      </c>
      <c r="F58" s="54" t="s">
        <v>32</v>
      </c>
      <c r="G58" s="54" t="s">
        <v>31</v>
      </c>
      <c r="H58" s="54" t="s">
        <v>30</v>
      </c>
      <c r="I58" s="54" t="s">
        <v>29</v>
      </c>
      <c r="J58" s="54" t="s">
        <v>28</v>
      </c>
      <c r="K58" s="54" t="s">
        <v>27</v>
      </c>
      <c r="L58" s="54" t="s">
        <v>26</v>
      </c>
      <c r="M58" s="54" t="s">
        <v>25</v>
      </c>
      <c r="N58" s="54" t="s">
        <v>24</v>
      </c>
      <c r="O58" s="54" t="s">
        <v>23</v>
      </c>
      <c r="P58" s="54" t="s">
        <v>22</v>
      </c>
      <c r="Q58" s="54" t="s">
        <v>21</v>
      </c>
      <c r="S58" s="28"/>
      <c r="T58" s="2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s="2" customFormat="1" x14ac:dyDescent="0.3">
      <c r="A59" s="1"/>
      <c r="B59" s="1"/>
      <c r="C59" s="1"/>
      <c r="E59" s="5" t="s">
        <v>19</v>
      </c>
      <c r="F59" s="76">
        <v>20</v>
      </c>
      <c r="G59" s="8">
        <f>SUM(G60:G61)</f>
        <v>23</v>
      </c>
      <c r="H59" s="8">
        <f>SUM(H60:H61)</f>
        <v>23</v>
      </c>
      <c r="I59" s="8">
        <f>SUM(I60:I61)</f>
        <v>22</v>
      </c>
      <c r="J59" s="8">
        <f>SUM(J60:J61)</f>
        <v>22</v>
      </c>
      <c r="K59" s="8">
        <f>SUM(K60:K61)</f>
        <v>21</v>
      </c>
      <c r="L59" s="8">
        <f>SUM(L60:L61)</f>
        <v>18</v>
      </c>
      <c r="M59" s="8">
        <f>SUM(M60:M61)</f>
        <v>18</v>
      </c>
      <c r="N59" s="8">
        <f>SUM(N60:N61)</f>
        <v>18</v>
      </c>
      <c r="O59" s="8">
        <f>SUM(O60:O61)</f>
        <v>16</v>
      </c>
      <c r="P59" s="8">
        <f>SUM(P60:P61)</f>
        <v>16</v>
      </c>
      <c r="Q59" s="8">
        <f>SUM(Q60:Q61)</f>
        <v>15</v>
      </c>
      <c r="S59" s="28"/>
      <c r="T59" s="2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s="2" customFormat="1" x14ac:dyDescent="0.3">
      <c r="A60" s="1"/>
      <c r="B60" s="1"/>
      <c r="C60" s="1"/>
      <c r="E60" s="14" t="s">
        <v>41</v>
      </c>
      <c r="F60" s="76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S60" s="28"/>
      <c r="T60" s="2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s="2" customFormat="1" x14ac:dyDescent="0.3">
      <c r="A61" s="1"/>
      <c r="B61" s="1"/>
      <c r="C61" s="1"/>
      <c r="E61" s="14" t="s">
        <v>40</v>
      </c>
      <c r="F61" s="76">
        <v>20</v>
      </c>
      <c r="G61" s="8">
        <v>23</v>
      </c>
      <c r="H61" s="8">
        <v>23</v>
      </c>
      <c r="I61" s="8">
        <v>22</v>
      </c>
      <c r="J61" s="8">
        <v>22</v>
      </c>
      <c r="K61" s="8">
        <v>21</v>
      </c>
      <c r="L61" s="8">
        <v>18</v>
      </c>
      <c r="M61" s="8">
        <v>18</v>
      </c>
      <c r="N61" s="8">
        <v>18</v>
      </c>
      <c r="O61" s="8">
        <v>16</v>
      </c>
      <c r="P61" s="8">
        <v>16</v>
      </c>
      <c r="Q61" s="8">
        <v>15</v>
      </c>
      <c r="S61" s="28"/>
      <c r="T61" s="28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s="2" customFormat="1" x14ac:dyDescent="0.3">
      <c r="A62" s="1"/>
      <c r="B62" s="1"/>
      <c r="C62" s="1"/>
      <c r="E62" s="5" t="s">
        <v>39</v>
      </c>
      <c r="F62" s="76">
        <v>0</v>
      </c>
      <c r="G62" s="8">
        <f>SUM(G65:G69)</f>
        <v>1</v>
      </c>
      <c r="H62" s="8">
        <f>SUM(H65:H69)</f>
        <v>0</v>
      </c>
      <c r="I62" s="8">
        <f>SUM(I65:I69)</f>
        <v>0</v>
      </c>
      <c r="J62" s="8">
        <f>SUM(J65:J69)</f>
        <v>1</v>
      </c>
      <c r="K62" s="8">
        <f>SUM(K65:K69)</f>
        <v>1</v>
      </c>
      <c r="L62" s="8">
        <f>SUM(L65:L69)</f>
        <v>0</v>
      </c>
      <c r="M62" s="8">
        <f>SUM(M65:M69)</f>
        <v>0</v>
      </c>
      <c r="N62" s="8">
        <f>SUM(N65:N69)</f>
        <v>0</v>
      </c>
      <c r="O62" s="8">
        <f>SUM(O65:O69)</f>
        <v>2</v>
      </c>
      <c r="P62" s="8">
        <f>SUM(P65:P69)</f>
        <v>0</v>
      </c>
      <c r="Q62" s="8">
        <f>SUM(Q65:Q69)</f>
        <v>1</v>
      </c>
      <c r="S62" s="28"/>
      <c r="T62" s="2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s="2" customFormat="1" x14ac:dyDescent="0.3">
      <c r="A63" s="1"/>
      <c r="B63" s="1"/>
      <c r="C63" s="1"/>
      <c r="E63" s="5" t="s">
        <v>15</v>
      </c>
      <c r="F63" s="76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1</v>
      </c>
      <c r="Q63" s="8">
        <v>0</v>
      </c>
      <c r="S63" s="28"/>
      <c r="T63" s="2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s="2" customFormat="1" x14ac:dyDescent="0.3">
      <c r="A64" s="1"/>
      <c r="B64" s="1"/>
      <c r="C64" s="1"/>
      <c r="E64" s="5" t="s">
        <v>14</v>
      </c>
      <c r="F64" s="10">
        <v>0</v>
      </c>
      <c r="G64" s="10">
        <v>0</v>
      </c>
      <c r="H64" s="10">
        <v>0</v>
      </c>
      <c r="I64" s="10">
        <v>1</v>
      </c>
      <c r="J64" s="10">
        <v>0</v>
      </c>
      <c r="K64" s="10">
        <v>0</v>
      </c>
      <c r="L64" s="10">
        <v>2</v>
      </c>
      <c r="M64" s="10">
        <v>0</v>
      </c>
      <c r="N64" s="10">
        <v>0</v>
      </c>
      <c r="O64" s="10">
        <v>1</v>
      </c>
      <c r="P64" s="10">
        <v>0</v>
      </c>
      <c r="Q64" s="10">
        <f>IFERROR(Q62/P59,0)</f>
        <v>6.25E-2</v>
      </c>
      <c r="S64" s="28"/>
      <c r="T64" s="2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s="2" customFormat="1" x14ac:dyDescent="0.3">
      <c r="A65" s="1"/>
      <c r="B65" s="1"/>
      <c r="C65" s="1"/>
      <c r="E65" s="5" t="s">
        <v>13</v>
      </c>
      <c r="F65" s="76">
        <v>0</v>
      </c>
      <c r="G65" s="8">
        <v>0</v>
      </c>
      <c r="H65" s="8">
        <v>0</v>
      </c>
      <c r="I65" s="8">
        <v>0</v>
      </c>
      <c r="J65" s="8">
        <v>0</v>
      </c>
      <c r="K65" s="8">
        <v>0</v>
      </c>
      <c r="L65" s="8">
        <v>0</v>
      </c>
      <c r="M65" s="8">
        <v>0</v>
      </c>
      <c r="N65" s="8">
        <v>0</v>
      </c>
      <c r="O65" s="8">
        <v>2</v>
      </c>
      <c r="P65" s="8">
        <v>0</v>
      </c>
      <c r="Q65" s="8">
        <v>0</v>
      </c>
      <c r="S65" s="28"/>
      <c r="T65" s="2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s="2" customFormat="1" x14ac:dyDescent="0.3">
      <c r="A66" s="1"/>
      <c r="B66" s="1"/>
      <c r="C66" s="1"/>
      <c r="E66" s="5" t="s">
        <v>12</v>
      </c>
      <c r="F66" s="76">
        <v>0</v>
      </c>
      <c r="G66" s="8">
        <v>0</v>
      </c>
      <c r="H66" s="8">
        <v>0</v>
      </c>
      <c r="I66" s="8">
        <v>0</v>
      </c>
      <c r="J66" s="8">
        <v>0</v>
      </c>
      <c r="K66" s="8">
        <v>1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1</v>
      </c>
      <c r="S66" s="28"/>
      <c r="T66" s="2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s="2" customFormat="1" x14ac:dyDescent="0.3">
      <c r="A67" s="1"/>
      <c r="B67" s="1"/>
      <c r="C67" s="1"/>
      <c r="E67" s="5" t="s">
        <v>11</v>
      </c>
      <c r="F67" s="76">
        <v>0</v>
      </c>
      <c r="G67" s="8">
        <v>0</v>
      </c>
      <c r="H67" s="8">
        <v>0</v>
      </c>
      <c r="I67" s="8">
        <v>0</v>
      </c>
      <c r="J67" s="8">
        <v>0</v>
      </c>
      <c r="K67" s="8">
        <v>0</v>
      </c>
      <c r="L67" s="8">
        <v>0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S67" s="28"/>
      <c r="T67" s="2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s="2" customFormat="1" x14ac:dyDescent="0.3">
      <c r="A68" s="1"/>
      <c r="B68" s="1"/>
      <c r="C68" s="1"/>
      <c r="E68" s="5" t="s">
        <v>50</v>
      </c>
      <c r="F68" s="76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S68" s="28"/>
      <c r="T68" s="2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s="2" customFormat="1" x14ac:dyDescent="0.3">
      <c r="A69" s="1"/>
      <c r="B69" s="1"/>
      <c r="C69" s="1"/>
      <c r="E69" s="5" t="s">
        <v>46</v>
      </c>
      <c r="F69" s="78">
        <v>0</v>
      </c>
      <c r="G69" s="42">
        <v>1</v>
      </c>
      <c r="H69" s="42">
        <v>0</v>
      </c>
      <c r="I69" s="42">
        <v>0</v>
      </c>
      <c r="J69" s="42">
        <v>1</v>
      </c>
      <c r="K69" s="42">
        <v>0</v>
      </c>
      <c r="L69" s="42">
        <v>0</v>
      </c>
      <c r="M69" s="42">
        <v>0</v>
      </c>
      <c r="N69" s="42">
        <v>0</v>
      </c>
      <c r="O69" s="42">
        <v>0</v>
      </c>
      <c r="P69" s="42">
        <v>0</v>
      </c>
      <c r="Q69" s="42">
        <v>0</v>
      </c>
      <c r="S69" s="28"/>
      <c r="T69" s="2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s="2" customFormat="1" x14ac:dyDescent="0.3">
      <c r="A70" s="1"/>
      <c r="B70" s="1"/>
      <c r="C70" s="1"/>
      <c r="E70" s="5" t="s">
        <v>6</v>
      </c>
      <c r="F70" s="78">
        <v>29480.370000000003</v>
      </c>
      <c r="G70" s="42">
        <v>29488.589999999997</v>
      </c>
      <c r="H70" s="42">
        <v>29480.369999999995</v>
      </c>
      <c r="I70" s="42">
        <v>26957.780000000002</v>
      </c>
      <c r="J70" s="42">
        <v>27112.940000000002</v>
      </c>
      <c r="K70" s="42">
        <v>17090.400000000001</v>
      </c>
      <c r="L70" s="42">
        <v>21063.33</v>
      </c>
      <c r="M70" s="42">
        <v>21063.33</v>
      </c>
      <c r="N70" s="42">
        <v>21063.33</v>
      </c>
      <c r="O70" s="42">
        <v>18881.36</v>
      </c>
      <c r="P70" s="42">
        <v>22496.71</v>
      </c>
      <c r="Q70" s="42">
        <v>21374.77</v>
      </c>
      <c r="S70" s="28"/>
      <c r="T70" s="2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s="2" customFormat="1" x14ac:dyDescent="0.3">
      <c r="A71" s="1"/>
      <c r="B71" s="1"/>
      <c r="C71" s="1"/>
      <c r="E71" s="5" t="s">
        <v>5</v>
      </c>
      <c r="F71" s="23">
        <v>14838.14</v>
      </c>
      <c r="G71" s="23">
        <v>19731.579999999998</v>
      </c>
      <c r="H71" s="23">
        <v>19542.699999999997</v>
      </c>
      <c r="I71" s="23">
        <v>14838.140000000001</v>
      </c>
      <c r="J71" s="23">
        <v>17020.11</v>
      </c>
      <c r="K71" s="23">
        <v>12414.55</v>
      </c>
      <c r="L71" s="23">
        <v>15829.740000000002</v>
      </c>
      <c r="M71" s="23">
        <v>15829.740000000002</v>
      </c>
      <c r="N71" s="23">
        <v>15829.740000000002</v>
      </c>
      <c r="O71" s="23">
        <v>15829.740000000002</v>
      </c>
      <c r="P71" s="23">
        <v>13936.17</v>
      </c>
      <c r="Q71" s="23">
        <v>12814.23</v>
      </c>
      <c r="S71" s="28"/>
      <c r="T71" s="2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s="2" customFormat="1" x14ac:dyDescent="0.3">
      <c r="A72" s="1"/>
      <c r="B72" s="1"/>
      <c r="C72" s="1"/>
      <c r="E72" s="5" t="s">
        <v>49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S72" s="28"/>
      <c r="T72" s="28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s="2" customFormat="1" x14ac:dyDescent="0.3">
      <c r="A73" s="1"/>
      <c r="B73" s="1"/>
      <c r="C73" s="1"/>
      <c r="E73" s="5" t="s">
        <v>3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S73" s="28"/>
      <c r="T73" s="28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s="2" customFormat="1" x14ac:dyDescent="0.3">
      <c r="A74" s="1"/>
      <c r="B74" s="1"/>
      <c r="C74" s="1"/>
      <c r="E74" s="5" t="s">
        <v>2</v>
      </c>
      <c r="F74" s="76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S74" s="28"/>
      <c r="T74" s="28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s="2" customFormat="1" x14ac:dyDescent="0.3">
      <c r="A75" s="1"/>
      <c r="B75" s="1"/>
      <c r="C75" s="1"/>
      <c r="E75" s="5" t="s">
        <v>1</v>
      </c>
      <c r="F75" s="75">
        <v>0</v>
      </c>
      <c r="G75" s="24">
        <v>0</v>
      </c>
      <c r="H75" s="24">
        <f>IFERROR(H71/H60,0)</f>
        <v>0</v>
      </c>
      <c r="I75" s="24">
        <f>IFERROR(I71/I60,0)</f>
        <v>0</v>
      </c>
      <c r="J75" s="24">
        <f>IFERROR(J71/J60,0)</f>
        <v>0</v>
      </c>
      <c r="K75" s="24">
        <f>IFERROR(K71/K60,0)</f>
        <v>0</v>
      </c>
      <c r="L75" s="24">
        <f>IFERROR(L71/L60,0)</f>
        <v>0</v>
      </c>
      <c r="M75" s="24">
        <f>IFERROR(M71/M60,0)</f>
        <v>0</v>
      </c>
      <c r="N75" s="24">
        <f>IFERROR(N71/N60,0)</f>
        <v>0</v>
      </c>
      <c r="O75" s="24">
        <f>IFERROR(O71/O60,0)</f>
        <v>0</v>
      </c>
      <c r="P75" s="24">
        <f>IFERROR(P71/P60,0)</f>
        <v>0</v>
      </c>
      <c r="Q75" s="24">
        <f>IFERROR(Q71/Q60,0)</f>
        <v>0</v>
      </c>
      <c r="S75" s="28"/>
      <c r="T75" s="28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s="2" customFormat="1" ht="15" customHeight="1" x14ac:dyDescent="0.3">
      <c r="A76" s="1"/>
      <c r="B76" s="1"/>
      <c r="C76" s="1"/>
      <c r="E76" s="5" t="s">
        <v>0</v>
      </c>
      <c r="F76" s="56">
        <v>0</v>
      </c>
      <c r="G76" s="56">
        <v>0</v>
      </c>
      <c r="H76" s="56">
        <v>0</v>
      </c>
      <c r="I76" s="56">
        <v>0</v>
      </c>
      <c r="J76" s="56">
        <v>0</v>
      </c>
      <c r="K76" s="56">
        <v>0</v>
      </c>
      <c r="L76" s="56">
        <v>0</v>
      </c>
      <c r="M76" s="56">
        <v>0</v>
      </c>
      <c r="N76" s="56">
        <v>0</v>
      </c>
      <c r="O76" s="56">
        <v>0</v>
      </c>
      <c r="P76" s="56">
        <v>0</v>
      </c>
      <c r="Q76" s="56">
        <v>0</v>
      </c>
      <c r="S76" s="28"/>
      <c r="T76" s="28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s="2" customFormat="1" ht="3" customHeight="1" x14ac:dyDescent="0.3">
      <c r="F77" s="56">
        <v>0</v>
      </c>
      <c r="G77" s="56">
        <v>0</v>
      </c>
      <c r="H77" s="56">
        <v>0</v>
      </c>
      <c r="I77" s="56">
        <v>0</v>
      </c>
      <c r="J77" s="56">
        <v>0</v>
      </c>
      <c r="K77" s="56">
        <v>0</v>
      </c>
      <c r="L77" s="56">
        <v>0</v>
      </c>
      <c r="M77" s="56">
        <v>0</v>
      </c>
      <c r="N77" s="56">
        <v>0</v>
      </c>
      <c r="O77" s="56">
        <v>0</v>
      </c>
      <c r="P77" s="56">
        <v>0</v>
      </c>
      <c r="Q77" s="56">
        <v>0</v>
      </c>
      <c r="S77" s="28"/>
      <c r="T77" s="28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s="2" customFormat="1" hidden="1" x14ac:dyDescent="0.3">
      <c r="F78" s="55">
        <v>352</v>
      </c>
      <c r="G78" s="55" t="e">
        <v>#REF!</v>
      </c>
      <c r="H78" s="55" t="e">
        <f>G82-H85+#REF!</f>
        <v>#REF!</v>
      </c>
      <c r="I78" s="55" t="e">
        <f>H82-I85+#REF!</f>
        <v>#REF!</v>
      </c>
      <c r="J78" s="55" t="e">
        <f>I82-J85+#REF!</f>
        <v>#REF!</v>
      </c>
      <c r="K78" s="55" t="e">
        <f>J82-K85+#REF!</f>
        <v>#REF!</v>
      </c>
      <c r="L78" s="55">
        <f>K82-L85+L96</f>
        <v>356</v>
      </c>
      <c r="M78" s="55">
        <f>L82-M85+M96</f>
        <v>339</v>
      </c>
      <c r="N78" s="55">
        <f>M82-N85+N96</f>
        <v>337</v>
      </c>
      <c r="O78" s="55">
        <f>N82-O85+O96</f>
        <v>311</v>
      </c>
      <c r="P78" s="55">
        <f>O82-P85+P96</f>
        <v>303</v>
      </c>
      <c r="Q78" s="29"/>
      <c r="S78" s="28"/>
      <c r="T78" s="28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s="2" customFormat="1" hidden="1" x14ac:dyDescent="0.3">
      <c r="F79" s="55">
        <f>F82-F78</f>
        <v>175</v>
      </c>
      <c r="G79" s="55" t="e">
        <v>#REF!</v>
      </c>
      <c r="H79" s="55" t="e">
        <f>H82-H78</f>
        <v>#REF!</v>
      </c>
      <c r="I79" s="55" t="e">
        <f>I82-I78</f>
        <v>#REF!</v>
      </c>
      <c r="J79" s="55" t="e">
        <f>J82-J78</f>
        <v>#REF!</v>
      </c>
      <c r="K79" s="55" t="e">
        <f>K82-K78</f>
        <v>#REF!</v>
      </c>
      <c r="L79" s="55">
        <f>L82-L78</f>
        <v>1</v>
      </c>
      <c r="M79" s="55">
        <f>M82-M78</f>
        <v>0</v>
      </c>
      <c r="N79" s="55">
        <f>N82-N78</f>
        <v>-1</v>
      </c>
      <c r="O79" s="55">
        <f>O82-O78</f>
        <v>1</v>
      </c>
      <c r="P79" s="55">
        <f>P82-P78</f>
        <v>-1</v>
      </c>
      <c r="Q79" s="29"/>
      <c r="S79" s="28"/>
      <c r="T79" s="28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s="2" customFormat="1" x14ac:dyDescent="0.3">
      <c r="A80" s="1"/>
      <c r="B80" s="1"/>
      <c r="C80" s="1"/>
      <c r="E80" s="54" t="s">
        <v>33</v>
      </c>
      <c r="F80" s="54" t="s">
        <v>32</v>
      </c>
      <c r="G80" s="54" t="s">
        <v>31</v>
      </c>
      <c r="H80" s="54" t="s">
        <v>30</v>
      </c>
      <c r="I80" s="54" t="s">
        <v>29</v>
      </c>
      <c r="J80" s="54" t="s">
        <v>28</v>
      </c>
      <c r="K80" s="54" t="s">
        <v>27</v>
      </c>
      <c r="L80" s="54" t="s">
        <v>26</v>
      </c>
      <c r="M80" s="54" t="s">
        <v>25</v>
      </c>
      <c r="N80" s="54" t="s">
        <v>24</v>
      </c>
      <c r="O80" s="54" t="s">
        <v>23</v>
      </c>
      <c r="P80" s="54" t="s">
        <v>22</v>
      </c>
      <c r="Q80" s="54" t="s">
        <v>21</v>
      </c>
      <c r="S80" s="28"/>
      <c r="T80" s="28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x14ac:dyDescent="0.3">
      <c r="E81" s="5" t="s">
        <v>20</v>
      </c>
      <c r="F81" s="76">
        <v>0</v>
      </c>
      <c r="G81" s="8">
        <v>0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0</v>
      </c>
      <c r="Q81" s="8">
        <v>0</v>
      </c>
    </row>
    <row r="82" spans="1:107" s="2" customFormat="1" x14ac:dyDescent="0.3">
      <c r="A82" s="1"/>
      <c r="B82" s="1"/>
      <c r="C82" s="1"/>
      <c r="E82" s="5" t="s">
        <v>19</v>
      </c>
      <c r="F82" s="76">
        <v>527</v>
      </c>
      <c r="G82" s="8">
        <f>SUM(G83:G84)</f>
        <v>494</v>
      </c>
      <c r="H82" s="8">
        <f>SUM(H83:H84)</f>
        <v>469</v>
      </c>
      <c r="I82" s="8">
        <f>SUM(I83:I84)</f>
        <v>425</v>
      </c>
      <c r="J82" s="8">
        <f>SUM(J83:J84)</f>
        <v>388</v>
      </c>
      <c r="K82" s="8">
        <f>SUM(K83:K84)</f>
        <v>360</v>
      </c>
      <c r="L82" s="8">
        <f>SUM(L83:L84)</f>
        <v>357</v>
      </c>
      <c r="M82" s="8">
        <f>SUM(M83:M84)</f>
        <v>339</v>
      </c>
      <c r="N82" s="8">
        <f>SUM(N83:N84)</f>
        <v>336</v>
      </c>
      <c r="O82" s="8">
        <f>SUM(O83:O84)</f>
        <v>312</v>
      </c>
      <c r="P82" s="8">
        <f>SUM(P83:P84)</f>
        <v>302</v>
      </c>
      <c r="Q82" s="8">
        <f>SUM(Q83:Q84)</f>
        <v>292</v>
      </c>
      <c r="S82" s="28"/>
      <c r="T82" s="28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s="2" customFormat="1" x14ac:dyDescent="0.3">
      <c r="A83" s="1"/>
      <c r="B83" s="1"/>
      <c r="C83" s="1"/>
      <c r="E83" s="14" t="s">
        <v>41</v>
      </c>
      <c r="F83" s="76">
        <v>0</v>
      </c>
      <c r="G83" s="8">
        <v>0</v>
      </c>
      <c r="H83" s="8">
        <v>0</v>
      </c>
      <c r="I83" s="8">
        <v>0</v>
      </c>
      <c r="J83" s="8">
        <v>0</v>
      </c>
      <c r="K83" s="8">
        <v>0</v>
      </c>
      <c r="L83" s="8">
        <v>0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S83" s="28"/>
      <c r="T83" s="28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s="2" customFormat="1" x14ac:dyDescent="0.3">
      <c r="A84" s="1"/>
      <c r="B84" s="1"/>
      <c r="C84" s="1"/>
      <c r="E84" s="14" t="s">
        <v>40</v>
      </c>
      <c r="F84" s="76">
        <v>527</v>
      </c>
      <c r="G84" s="8">
        <v>494</v>
      </c>
      <c r="H84" s="8">
        <v>469</v>
      </c>
      <c r="I84" s="8">
        <v>425</v>
      </c>
      <c r="J84" s="8">
        <v>388</v>
      </c>
      <c r="K84" s="8">
        <v>360</v>
      </c>
      <c r="L84" s="8">
        <v>357</v>
      </c>
      <c r="M84" s="8">
        <v>339</v>
      </c>
      <c r="N84" s="8">
        <v>336</v>
      </c>
      <c r="O84" s="8">
        <v>312</v>
      </c>
      <c r="P84" s="8">
        <v>302</v>
      </c>
      <c r="Q84" s="8">
        <v>292</v>
      </c>
      <c r="S84" s="28"/>
      <c r="T84" s="28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s="2" customFormat="1" x14ac:dyDescent="0.3">
      <c r="A85" s="1"/>
      <c r="B85" s="1"/>
      <c r="C85" s="1"/>
      <c r="E85" s="5" t="s">
        <v>39</v>
      </c>
      <c r="F85" s="76">
        <v>34</v>
      </c>
      <c r="G85" s="8">
        <f>SUM(G88:G92)</f>
        <v>31</v>
      </c>
      <c r="H85" s="8">
        <f>SUM(H88:H92)</f>
        <v>26</v>
      </c>
      <c r="I85" s="8">
        <f>SUM(I88:I92)</f>
        <v>40</v>
      </c>
      <c r="J85" s="8">
        <f>SUM(J88:J92)</f>
        <v>37</v>
      </c>
      <c r="K85" s="8">
        <f>SUM(K88:K92)</f>
        <v>33</v>
      </c>
      <c r="L85" s="8">
        <f>SUM(L88:L92)</f>
        <v>24</v>
      </c>
      <c r="M85" s="8">
        <f>SUM(M88:M92)</f>
        <v>27</v>
      </c>
      <c r="N85" s="8">
        <f>SUM(N88:N92)</f>
        <v>21</v>
      </c>
      <c r="O85" s="8">
        <f>SUM(O88:O92)</f>
        <v>39</v>
      </c>
      <c r="P85" s="8">
        <f>SUM(P88:P92)</f>
        <v>18</v>
      </c>
      <c r="Q85" s="8">
        <f>SUM(Q88:Q92)</f>
        <v>14</v>
      </c>
      <c r="S85" s="28"/>
      <c r="T85" s="28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s="2" customFormat="1" x14ac:dyDescent="0.3">
      <c r="A86" s="1"/>
      <c r="B86" s="1"/>
      <c r="C86" s="1"/>
      <c r="E86" s="5" t="s">
        <v>15</v>
      </c>
      <c r="F86" s="76">
        <v>2</v>
      </c>
      <c r="G86" s="8">
        <v>1</v>
      </c>
      <c r="H86" s="8">
        <v>0</v>
      </c>
      <c r="I86" s="8">
        <v>2</v>
      </c>
      <c r="J86" s="8">
        <v>2</v>
      </c>
      <c r="K86" s="8">
        <v>2</v>
      </c>
      <c r="L86" s="8">
        <v>0</v>
      </c>
      <c r="M86" s="8">
        <v>0</v>
      </c>
      <c r="N86" s="8">
        <v>0</v>
      </c>
      <c r="O86" s="8">
        <v>0</v>
      </c>
      <c r="P86" s="8">
        <v>0</v>
      </c>
      <c r="Q86" s="8">
        <v>1</v>
      </c>
      <c r="S86" s="28"/>
      <c r="T86" s="28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s="2" customFormat="1" x14ac:dyDescent="0.3">
      <c r="A87" s="1"/>
      <c r="B87" s="1"/>
      <c r="C87" s="1"/>
      <c r="E87" s="5" t="s">
        <v>14</v>
      </c>
      <c r="F87" s="10">
        <v>0</v>
      </c>
      <c r="G87" s="10">
        <v>9.4876660341555973E-3</v>
      </c>
      <c r="H87" s="10">
        <f>IFERROR(H85/G82,0)</f>
        <v>5.2631578947368418E-2</v>
      </c>
      <c r="I87" s="10">
        <f>IFERROR(I85/H82,0)</f>
        <v>8.5287846481876331E-2</v>
      </c>
      <c r="J87" s="10">
        <f>IFERROR(J85/I82,0)</f>
        <v>8.7058823529411758E-2</v>
      </c>
      <c r="K87" s="10">
        <f>IFERROR(K85/J82,0)</f>
        <v>8.505154639175258E-2</v>
      </c>
      <c r="L87" s="10">
        <f>IFERROR(L85/K82,0)</f>
        <v>6.6666666666666666E-2</v>
      </c>
      <c r="M87" s="10">
        <f>IFERROR(M85/L82,0)</f>
        <v>7.5630252100840331E-2</v>
      </c>
      <c r="N87" s="10">
        <f>IFERROR(N85/M82,0)</f>
        <v>6.1946902654867256E-2</v>
      </c>
      <c r="O87" s="10">
        <f>IFERROR(O85/N82,0)</f>
        <v>0.11607142857142858</v>
      </c>
      <c r="P87" s="10">
        <f>IFERROR(P85/O82,0)</f>
        <v>5.7692307692307696E-2</v>
      </c>
      <c r="Q87" s="10">
        <f>IFERROR(Q85/P82,0)</f>
        <v>4.6357615894039736E-2</v>
      </c>
      <c r="S87" s="28"/>
      <c r="T87" s="28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s="2" customFormat="1" x14ac:dyDescent="0.3">
      <c r="A88" s="1"/>
      <c r="B88" s="1"/>
      <c r="C88" s="1"/>
      <c r="E88" s="5" t="s">
        <v>13</v>
      </c>
      <c r="F88" s="76">
        <v>19</v>
      </c>
      <c r="G88" s="8">
        <v>9</v>
      </c>
      <c r="H88" s="8">
        <v>19</v>
      </c>
      <c r="I88" s="8">
        <v>27</v>
      </c>
      <c r="J88" s="8">
        <v>21</v>
      </c>
      <c r="K88" s="8">
        <v>12</v>
      </c>
      <c r="L88" s="8">
        <v>9</v>
      </c>
      <c r="M88" s="8">
        <v>9</v>
      </c>
      <c r="N88" s="8">
        <v>10</v>
      </c>
      <c r="O88" s="8">
        <v>10</v>
      </c>
      <c r="P88" s="8">
        <v>10</v>
      </c>
      <c r="Q88" s="8">
        <v>12</v>
      </c>
      <c r="S88" s="28"/>
      <c r="T88" s="28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s="2" customFormat="1" x14ac:dyDescent="0.3">
      <c r="A89" s="1"/>
      <c r="B89" s="1"/>
      <c r="C89" s="1"/>
      <c r="E89" s="5" t="s">
        <v>12</v>
      </c>
      <c r="F89" s="76">
        <v>15</v>
      </c>
      <c r="G89" s="8">
        <v>0</v>
      </c>
      <c r="H89" s="8">
        <v>0</v>
      </c>
      <c r="I89" s="8">
        <v>0</v>
      </c>
      <c r="J89" s="8">
        <v>12</v>
      </c>
      <c r="K89" s="8">
        <v>21</v>
      </c>
      <c r="L89" s="8">
        <v>14</v>
      </c>
      <c r="M89" s="8">
        <v>18</v>
      </c>
      <c r="N89" s="8">
        <v>11</v>
      </c>
      <c r="O89" s="8">
        <v>29</v>
      </c>
      <c r="P89" s="8">
        <v>8</v>
      </c>
      <c r="Q89" s="8">
        <v>2</v>
      </c>
      <c r="S89" s="28"/>
      <c r="T89" s="28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s="2" customFormat="1" x14ac:dyDescent="0.3">
      <c r="A90" s="1"/>
      <c r="B90" s="1"/>
      <c r="C90" s="1"/>
      <c r="E90" s="5" t="s">
        <v>11</v>
      </c>
      <c r="F90" s="76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8">
        <v>1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S90" s="28"/>
      <c r="T90" s="28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s="2" customFormat="1" x14ac:dyDescent="0.3">
      <c r="A91" s="1"/>
      <c r="B91" s="1"/>
      <c r="C91" s="1"/>
      <c r="E91" s="5" t="s">
        <v>50</v>
      </c>
      <c r="F91" s="78">
        <v>0</v>
      </c>
      <c r="G91" s="42">
        <v>0</v>
      </c>
      <c r="H91" s="42">
        <v>0</v>
      </c>
      <c r="I91" s="42">
        <v>0</v>
      </c>
      <c r="J91" s="42">
        <v>0</v>
      </c>
      <c r="K91" s="42">
        <v>0</v>
      </c>
      <c r="L91" s="42">
        <v>0</v>
      </c>
      <c r="M91" s="42">
        <v>0</v>
      </c>
      <c r="N91" s="42">
        <v>0</v>
      </c>
      <c r="O91" s="42">
        <v>0</v>
      </c>
      <c r="P91" s="42">
        <v>0</v>
      </c>
      <c r="Q91" s="42">
        <v>0</v>
      </c>
      <c r="S91" s="28"/>
      <c r="T91" s="28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s="2" customFormat="1" x14ac:dyDescent="0.3">
      <c r="A92" s="1"/>
      <c r="B92" s="1"/>
      <c r="C92" s="1"/>
      <c r="E92" s="5" t="s">
        <v>46</v>
      </c>
      <c r="F92" s="78">
        <v>0</v>
      </c>
      <c r="G92" s="42">
        <v>22</v>
      </c>
      <c r="H92" s="42">
        <v>7</v>
      </c>
      <c r="I92" s="42">
        <v>13</v>
      </c>
      <c r="J92" s="42">
        <v>4</v>
      </c>
      <c r="K92" s="42">
        <v>0</v>
      </c>
      <c r="L92" s="42">
        <v>0</v>
      </c>
      <c r="M92" s="42">
        <v>0</v>
      </c>
      <c r="N92" s="42">
        <v>0</v>
      </c>
      <c r="O92" s="42">
        <v>0</v>
      </c>
      <c r="P92" s="42">
        <v>0</v>
      </c>
      <c r="Q92" s="42">
        <v>0</v>
      </c>
      <c r="S92" s="28"/>
      <c r="T92" s="28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s="2" customFormat="1" x14ac:dyDescent="0.3">
      <c r="A93" s="1"/>
      <c r="B93" s="1"/>
      <c r="C93" s="1"/>
      <c r="E93" s="5" t="s">
        <v>6</v>
      </c>
      <c r="F93" s="23">
        <v>133735.6299999998</v>
      </c>
      <c r="G93" s="23">
        <v>126865.39999999994</v>
      </c>
      <c r="H93" s="23">
        <v>120295.24999999994</v>
      </c>
      <c r="I93" s="23">
        <v>110544.62999999982</v>
      </c>
      <c r="J93" s="23">
        <v>102819.81</v>
      </c>
      <c r="K93" s="23">
        <v>96104.009999999951</v>
      </c>
      <c r="L93" s="23">
        <v>93647.729999999967</v>
      </c>
      <c r="M93" s="23">
        <v>87726.799999999945</v>
      </c>
      <c r="N93" s="23">
        <v>88012.489999999903</v>
      </c>
      <c r="O93" s="23">
        <v>90996.229999999967</v>
      </c>
      <c r="P93" s="23">
        <v>85041.540000000023</v>
      </c>
      <c r="Q93" s="23">
        <v>83038.64</v>
      </c>
      <c r="S93" s="28"/>
      <c r="T93" s="28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s="2" customFormat="1" x14ac:dyDescent="0.3">
      <c r="A94" s="1"/>
      <c r="B94" s="1"/>
      <c r="C94" s="1"/>
      <c r="E94" s="5" t="s">
        <v>5</v>
      </c>
      <c r="F94" s="23">
        <v>115178.52999999981</v>
      </c>
      <c r="G94" s="23">
        <v>107408.35999999994</v>
      </c>
      <c r="H94" s="23">
        <v>100972.31999999995</v>
      </c>
      <c r="I94" s="23">
        <v>94466.429999999818</v>
      </c>
      <c r="J94" s="23">
        <v>92547.069999999992</v>
      </c>
      <c r="K94" s="23">
        <v>85122.079999999958</v>
      </c>
      <c r="L94" s="23">
        <v>82323.559999999969</v>
      </c>
      <c r="M94" s="23">
        <v>77196.239999999947</v>
      </c>
      <c r="N94" s="23">
        <v>76587.019999999902</v>
      </c>
      <c r="O94" s="23">
        <v>77749.849999999962</v>
      </c>
      <c r="P94" s="23">
        <v>72938.61000000003</v>
      </c>
      <c r="Q94" s="23">
        <v>72684.89</v>
      </c>
      <c r="S94" s="28"/>
      <c r="T94" s="28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s="2" customFormat="1" x14ac:dyDescent="0.3">
      <c r="A95" s="1"/>
      <c r="B95" s="1"/>
      <c r="C95" s="1"/>
      <c r="E95" s="5" t="s">
        <v>49</v>
      </c>
      <c r="F95" s="10">
        <v>0.13875958112284681</v>
      </c>
      <c r="G95" s="10">
        <v>0.96785622349818046</v>
      </c>
      <c r="H95" s="10">
        <f>IFERROR((1-H94/H93),0)</f>
        <v>0.1606292019011557</v>
      </c>
      <c r="I95" s="10">
        <f>IFERROR((1-I94/I93),0)</f>
        <v>0.14544532828053269</v>
      </c>
      <c r="J95" s="10">
        <f>IFERROR((1-J94/J93),0)</f>
        <v>9.9910124323318694E-2</v>
      </c>
      <c r="K95" s="10">
        <f>IFERROR((1-K94/K93),0)</f>
        <v>0.11427129835685312</v>
      </c>
      <c r="L95" s="10">
        <f>IFERROR((1-L94/L93),0)</f>
        <v>0.12092305921350155</v>
      </c>
      <c r="M95" s="10">
        <f>IFERROR((1-M94/M93),0)</f>
        <v>0.12003811834011957</v>
      </c>
      <c r="N95" s="10">
        <f>IFERROR((1-N94/N93),0)</f>
        <v>0.12981646127725754</v>
      </c>
      <c r="O95" s="10">
        <f>IFERROR((1-O94/O93),0)</f>
        <v>0.14557064616852822</v>
      </c>
      <c r="P95" s="10">
        <f>IFERROR((1-P94/P93),0)</f>
        <v>0.1423178601892674</v>
      </c>
      <c r="Q95" s="10">
        <f>IFERROR((1-Q94/Q93),0)</f>
        <v>0.12468592934566369</v>
      </c>
      <c r="S95" s="28"/>
      <c r="T95" s="28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s="2" customFormat="1" x14ac:dyDescent="0.3">
      <c r="A96" s="1"/>
      <c r="B96" s="1"/>
      <c r="C96" s="1"/>
      <c r="E96" s="5" t="s">
        <v>3</v>
      </c>
      <c r="F96" s="76">
        <v>0</v>
      </c>
      <c r="G96" s="8">
        <v>0</v>
      </c>
      <c r="H96" s="8">
        <v>0</v>
      </c>
      <c r="I96" s="8">
        <v>0</v>
      </c>
      <c r="J96" s="8">
        <v>0</v>
      </c>
      <c r="K96" s="8">
        <v>5</v>
      </c>
      <c r="L96" s="8">
        <v>20</v>
      </c>
      <c r="M96" s="8">
        <v>9</v>
      </c>
      <c r="N96" s="8">
        <v>19</v>
      </c>
      <c r="O96" s="8">
        <v>14</v>
      </c>
      <c r="P96" s="8">
        <v>9</v>
      </c>
      <c r="Q96" s="8">
        <v>5</v>
      </c>
      <c r="S96" s="28"/>
      <c r="T96" s="28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s="2" customFormat="1" x14ac:dyDescent="0.3">
      <c r="A97" s="1"/>
      <c r="B97" s="1"/>
      <c r="C97" s="1"/>
      <c r="E97" s="5" t="s">
        <v>2</v>
      </c>
      <c r="F97" s="75">
        <v>253.76779886147969</v>
      </c>
      <c r="G97" s="24">
        <v>162.15994252873534</v>
      </c>
      <c r="H97" s="24">
        <f>IFERROR(H93/H82,0)</f>
        <v>256.49307036247325</v>
      </c>
      <c r="I97" s="24">
        <f>IFERROR(I93/I82,0)</f>
        <v>260.10501176470547</v>
      </c>
      <c r="J97" s="24">
        <f>IFERROR(J93/J82,0)</f>
        <v>264.99951030927832</v>
      </c>
      <c r="K97" s="24">
        <f>IFERROR(K93/K82,0)</f>
        <v>266.95558333333321</v>
      </c>
      <c r="L97" s="24">
        <f>IFERROR(L93/L82,0)</f>
        <v>262.31857142857132</v>
      </c>
      <c r="M97" s="24">
        <f>IFERROR(M93/M82,0)</f>
        <v>258.78112094395266</v>
      </c>
      <c r="N97" s="24">
        <f>IFERROR(N93/N82,0)</f>
        <v>261.94193452380921</v>
      </c>
      <c r="O97" s="24">
        <f>IFERROR(O93/O82,0)</f>
        <v>291.65458333333322</v>
      </c>
      <c r="P97" s="24">
        <f>IFERROR(P93/P82,0)</f>
        <v>281.59450331125834</v>
      </c>
      <c r="Q97" s="24">
        <f>IFERROR(Q93/Q82,0)</f>
        <v>284.37890410958903</v>
      </c>
      <c r="S97" s="28"/>
      <c r="T97" s="28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s="2" customFormat="1" x14ac:dyDescent="0.3">
      <c r="A98" s="1"/>
      <c r="B98" s="1"/>
      <c r="C98" s="1"/>
      <c r="E98" s="5" t="s">
        <v>1</v>
      </c>
      <c r="F98" s="56">
        <v>0</v>
      </c>
      <c r="G98" s="56">
        <v>0</v>
      </c>
      <c r="H98" s="56">
        <v>0</v>
      </c>
      <c r="I98" s="56">
        <v>0</v>
      </c>
      <c r="J98" s="56">
        <v>0</v>
      </c>
      <c r="K98" s="56">
        <v>0</v>
      </c>
      <c r="L98" s="56">
        <v>0</v>
      </c>
      <c r="M98" s="56">
        <v>0</v>
      </c>
      <c r="N98" s="56">
        <v>0</v>
      </c>
      <c r="O98" s="56">
        <v>0</v>
      </c>
      <c r="P98" s="56">
        <v>0</v>
      </c>
      <c r="Q98" s="56">
        <v>0</v>
      </c>
      <c r="S98" s="28"/>
      <c r="T98" s="28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s="2" customFormat="1" x14ac:dyDescent="0.3">
      <c r="A99" s="1"/>
      <c r="B99" s="1"/>
      <c r="C99" s="1"/>
      <c r="E99" s="5" t="s">
        <v>0</v>
      </c>
      <c r="F99" s="56">
        <v>0</v>
      </c>
      <c r="G99" s="56">
        <v>0</v>
      </c>
      <c r="H99" s="56">
        <v>0</v>
      </c>
      <c r="I99" s="56">
        <v>0</v>
      </c>
      <c r="J99" s="56">
        <v>0</v>
      </c>
      <c r="K99" s="56">
        <v>0</v>
      </c>
      <c r="L99" s="56">
        <v>0</v>
      </c>
      <c r="M99" s="56">
        <v>0</v>
      </c>
      <c r="N99" s="56">
        <v>0</v>
      </c>
      <c r="O99" s="56">
        <v>0</v>
      </c>
      <c r="P99" s="56">
        <v>0</v>
      </c>
      <c r="Q99" s="56">
        <v>0</v>
      </c>
      <c r="S99" s="28"/>
      <c r="T99" s="28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s="2" customFormat="1" ht="2.4" customHeight="1" x14ac:dyDescent="0.3">
      <c r="F100" s="55"/>
      <c r="G100" s="55"/>
      <c r="H100" s="55"/>
      <c r="I100" s="61"/>
      <c r="J100" s="55"/>
      <c r="K100" s="60"/>
      <c r="L100" s="29"/>
      <c r="M100" s="29"/>
      <c r="N100" s="29"/>
      <c r="O100" s="29"/>
      <c r="P100" s="29"/>
      <c r="Q100" s="29"/>
      <c r="S100" s="28"/>
      <c r="T100" s="28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s="2" customFormat="1" hidden="1" x14ac:dyDescent="0.3">
      <c r="F101" s="55">
        <v>174</v>
      </c>
      <c r="G101" s="55" t="e">
        <v>#REF!</v>
      </c>
      <c r="H101" s="55" t="e">
        <f>G105-H108+#REF!</f>
        <v>#REF!</v>
      </c>
      <c r="I101" s="55" t="e">
        <f>H105-I108+#REF!</f>
        <v>#REF!</v>
      </c>
      <c r="J101" s="55" t="e">
        <f>I105-J108+#REF!</f>
        <v>#REF!</v>
      </c>
      <c r="K101" s="55" t="e">
        <f>J105-K108+#REF!</f>
        <v>#REF!</v>
      </c>
      <c r="L101" s="55">
        <f>K105-L108+L119</f>
        <v>645</v>
      </c>
      <c r="M101" s="55">
        <f>L105-M108+M119</f>
        <v>612</v>
      </c>
      <c r="N101" s="55">
        <f>M105-N108+N119</f>
        <v>584</v>
      </c>
      <c r="O101" s="55">
        <f>N105-O108+O119</f>
        <v>550</v>
      </c>
      <c r="P101" s="55">
        <f>O105-P108+P119</f>
        <v>538</v>
      </c>
      <c r="Q101" s="29"/>
      <c r="S101" s="28"/>
      <c r="T101" s="28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s="2" customFormat="1" hidden="1" x14ac:dyDescent="0.3">
      <c r="F102" s="55">
        <f>F105-F101</f>
        <v>685</v>
      </c>
      <c r="G102" s="55" t="e">
        <v>#REF!</v>
      </c>
      <c r="H102" s="55" t="e">
        <f>H105-H101</f>
        <v>#REF!</v>
      </c>
      <c r="I102" s="55" t="e">
        <f>I105-I101</f>
        <v>#REF!</v>
      </c>
      <c r="J102" s="55" t="e">
        <f>J105-J101</f>
        <v>#REF!</v>
      </c>
      <c r="K102" s="55" t="e">
        <f>K105-K101</f>
        <v>#REF!</v>
      </c>
      <c r="L102" s="55">
        <f>L105-L101</f>
        <v>6</v>
      </c>
      <c r="M102" s="55">
        <f>M105-M101</f>
        <v>1</v>
      </c>
      <c r="N102" s="55">
        <f>N105-N101</f>
        <v>1</v>
      </c>
      <c r="O102" s="55">
        <f>O105-O101</f>
        <v>1</v>
      </c>
      <c r="P102" s="55">
        <f>P105-P101</f>
        <v>8</v>
      </c>
      <c r="Q102" s="29"/>
      <c r="S102" s="28"/>
      <c r="T102" s="28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s="2" customFormat="1" x14ac:dyDescent="0.3">
      <c r="A103" s="1"/>
      <c r="B103" s="1"/>
      <c r="C103" s="1"/>
      <c r="E103" s="65" t="s">
        <v>33</v>
      </c>
      <c r="F103" s="54" t="s">
        <v>32</v>
      </c>
      <c r="G103" s="54" t="s">
        <v>31</v>
      </c>
      <c r="H103" s="54" t="s">
        <v>30</v>
      </c>
      <c r="I103" s="54" t="s">
        <v>29</v>
      </c>
      <c r="J103" s="54" t="s">
        <v>28</v>
      </c>
      <c r="K103" s="54" t="s">
        <v>27</v>
      </c>
      <c r="L103" s="54" t="s">
        <v>26</v>
      </c>
      <c r="M103" s="54" t="s">
        <v>25</v>
      </c>
      <c r="N103" s="54" t="s">
        <v>24</v>
      </c>
      <c r="O103" s="54" t="s">
        <v>23</v>
      </c>
      <c r="P103" s="54" t="s">
        <v>22</v>
      </c>
      <c r="Q103" s="54" t="s">
        <v>21</v>
      </c>
      <c r="S103" s="28"/>
      <c r="T103" s="28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x14ac:dyDescent="0.3">
      <c r="E104" s="5" t="s">
        <v>20</v>
      </c>
      <c r="F104" s="76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0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</row>
    <row r="105" spans="1:107" s="2" customFormat="1" x14ac:dyDescent="0.3">
      <c r="A105" s="1"/>
      <c r="B105" s="1"/>
      <c r="C105" s="1"/>
      <c r="E105" s="5" t="s">
        <v>19</v>
      </c>
      <c r="F105" s="76">
        <v>859</v>
      </c>
      <c r="G105" s="8">
        <f>SUM(G106:G107)</f>
        <v>833</v>
      </c>
      <c r="H105" s="8">
        <f>SUM(H106:H107)</f>
        <v>795</v>
      </c>
      <c r="I105" s="8">
        <f>SUM(I106:I107)</f>
        <v>775</v>
      </c>
      <c r="J105" s="8">
        <f>SUM(J106:J107)</f>
        <v>727</v>
      </c>
      <c r="K105" s="8">
        <f>SUM(K106:K107)</f>
        <v>680</v>
      </c>
      <c r="L105" s="8">
        <f>SUM(L106:L107)</f>
        <v>651</v>
      </c>
      <c r="M105" s="8">
        <f>SUM(M106:M107)</f>
        <v>613</v>
      </c>
      <c r="N105" s="8">
        <f>SUM(N106:N107)</f>
        <v>585</v>
      </c>
      <c r="O105" s="8">
        <f>SUM(O106:O107)</f>
        <v>551</v>
      </c>
      <c r="P105" s="8">
        <f>SUM(P106:P107)</f>
        <v>546</v>
      </c>
      <c r="Q105" s="8">
        <f>SUM(Q106:Q107)</f>
        <v>528</v>
      </c>
      <c r="S105" s="28"/>
      <c r="T105" s="28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s="2" customFormat="1" x14ac:dyDescent="0.3">
      <c r="A106" s="1"/>
      <c r="B106" s="1"/>
      <c r="C106" s="1"/>
      <c r="E106" s="14" t="s">
        <v>41</v>
      </c>
      <c r="F106" s="76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S106" s="28"/>
      <c r="T106" s="28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s="2" customFormat="1" x14ac:dyDescent="0.3">
      <c r="A107" s="1"/>
      <c r="B107" s="1"/>
      <c r="C107" s="1"/>
      <c r="E107" s="14" t="s">
        <v>40</v>
      </c>
      <c r="F107" s="76">
        <v>859</v>
      </c>
      <c r="G107" s="8">
        <v>833</v>
      </c>
      <c r="H107" s="8">
        <v>795</v>
      </c>
      <c r="I107" s="8">
        <v>775</v>
      </c>
      <c r="J107" s="8">
        <v>727</v>
      </c>
      <c r="K107" s="8">
        <v>680</v>
      </c>
      <c r="L107" s="8">
        <v>651</v>
      </c>
      <c r="M107" s="8">
        <v>613</v>
      </c>
      <c r="N107" s="8">
        <v>585</v>
      </c>
      <c r="O107" s="8">
        <v>551</v>
      </c>
      <c r="P107" s="8">
        <v>546</v>
      </c>
      <c r="Q107" s="8">
        <v>528</v>
      </c>
      <c r="S107" s="28"/>
      <c r="T107" s="28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s="2" customFormat="1" ht="13.95" customHeight="1" x14ac:dyDescent="0.3">
      <c r="A108" s="1"/>
      <c r="B108" s="1"/>
      <c r="C108" s="1"/>
      <c r="E108" s="5" t="s">
        <v>39</v>
      </c>
      <c r="F108" s="76">
        <v>82</v>
      </c>
      <c r="G108" s="8">
        <f>SUM(G111:G115)</f>
        <v>62</v>
      </c>
      <c r="H108" s="8">
        <f>SUM(H111:H115)</f>
        <v>59</v>
      </c>
      <c r="I108" s="8">
        <f>SUM(I111:I115)</f>
        <v>50</v>
      </c>
      <c r="J108" s="8">
        <f>SUM(J111:J115)</f>
        <v>68</v>
      </c>
      <c r="K108" s="8">
        <f>SUM(K111:K115)</f>
        <v>63</v>
      </c>
      <c r="L108" s="8">
        <f>SUM(L111:L115)</f>
        <v>45</v>
      </c>
      <c r="M108" s="8">
        <f>SUM(M111:M115)</f>
        <v>50</v>
      </c>
      <c r="N108" s="8">
        <f>SUM(N111:N115)</f>
        <v>29</v>
      </c>
      <c r="O108" s="8">
        <f>SUM(O111:O115)</f>
        <v>35</v>
      </c>
      <c r="P108" s="8">
        <f>SUM(P111:P115)</f>
        <v>13</v>
      </c>
      <c r="Q108" s="8">
        <f>SUM(Q111:Q115)</f>
        <v>16</v>
      </c>
      <c r="S108" s="28"/>
      <c r="T108" s="28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s="2" customFormat="1" x14ac:dyDescent="0.3">
      <c r="A109" s="1"/>
      <c r="B109" s="1"/>
      <c r="C109" s="1"/>
      <c r="E109" s="5" t="s">
        <v>15</v>
      </c>
      <c r="F109" s="76">
        <v>4</v>
      </c>
      <c r="G109" s="8">
        <v>3</v>
      </c>
      <c r="H109" s="8">
        <v>3</v>
      </c>
      <c r="I109" s="8">
        <v>0</v>
      </c>
      <c r="J109" s="8">
        <v>5</v>
      </c>
      <c r="K109" s="8">
        <v>2</v>
      </c>
      <c r="L109" s="8">
        <v>0</v>
      </c>
      <c r="M109" s="8">
        <v>0</v>
      </c>
      <c r="N109" s="8">
        <v>0</v>
      </c>
      <c r="O109" s="8">
        <v>1</v>
      </c>
      <c r="P109" s="8">
        <v>1</v>
      </c>
      <c r="Q109" s="8">
        <v>1</v>
      </c>
      <c r="S109" s="28"/>
      <c r="T109" s="28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s="2" customFormat="1" x14ac:dyDescent="0.3">
      <c r="A110" s="1"/>
      <c r="B110" s="1"/>
      <c r="C110" s="1"/>
      <c r="E110" s="5" t="s">
        <v>14</v>
      </c>
      <c r="F110" s="10">
        <v>0</v>
      </c>
      <c r="G110" s="10">
        <v>8.1490104772991845E-3</v>
      </c>
      <c r="H110" s="10">
        <f>IFERROR(H108/G105,0)</f>
        <v>7.0828331332533009E-2</v>
      </c>
      <c r="I110" s="10">
        <f>IFERROR(I108/H105,0)</f>
        <v>6.2893081761006289E-2</v>
      </c>
      <c r="J110" s="10">
        <f>IFERROR(J108/I105,0)</f>
        <v>8.7741935483870964E-2</v>
      </c>
      <c r="K110" s="10">
        <f>IFERROR(K108/J105,0)</f>
        <v>8.6657496561210454E-2</v>
      </c>
      <c r="L110" s="10">
        <f>IFERROR(L108/K105,0)</f>
        <v>6.6176470588235295E-2</v>
      </c>
      <c r="M110" s="10">
        <f>IFERROR(M108/L105,0)</f>
        <v>7.6804915514592939E-2</v>
      </c>
      <c r="N110" s="10">
        <f>IFERROR(N108/M105,0)</f>
        <v>4.730831973898858E-2</v>
      </c>
      <c r="O110" s="10">
        <f>IFERROR(O108/N105,0)</f>
        <v>5.9829059829059832E-2</v>
      </c>
      <c r="P110" s="10">
        <f>IFERROR(P108/O105,0)</f>
        <v>2.3593466424682397E-2</v>
      </c>
      <c r="Q110" s="10">
        <f>IFERROR(Q108/P105,0)</f>
        <v>2.9304029304029304E-2</v>
      </c>
      <c r="S110" s="28"/>
      <c r="T110" s="28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s="2" customFormat="1" x14ac:dyDescent="0.3">
      <c r="A111" s="1"/>
      <c r="B111" s="1"/>
      <c r="C111" s="1"/>
      <c r="E111" s="5" t="s">
        <v>13</v>
      </c>
      <c r="F111" s="76">
        <v>44</v>
      </c>
      <c r="G111" s="8">
        <v>36</v>
      </c>
      <c r="H111" s="8">
        <v>33</v>
      </c>
      <c r="I111" s="8">
        <v>19</v>
      </c>
      <c r="J111" s="8">
        <v>37</v>
      </c>
      <c r="K111" s="8">
        <v>24</v>
      </c>
      <c r="L111" s="8">
        <v>24</v>
      </c>
      <c r="M111" s="8">
        <v>24</v>
      </c>
      <c r="N111" s="8">
        <v>15</v>
      </c>
      <c r="O111" s="8">
        <v>20</v>
      </c>
      <c r="P111" s="8">
        <v>2</v>
      </c>
      <c r="Q111" s="8">
        <v>9</v>
      </c>
      <c r="S111" s="28"/>
      <c r="T111" s="28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s="2" customFormat="1" x14ac:dyDescent="0.3">
      <c r="A112" s="1"/>
      <c r="B112" s="1"/>
      <c r="C112" s="1"/>
      <c r="E112" s="5" t="s">
        <v>12</v>
      </c>
      <c r="F112" s="76">
        <v>37</v>
      </c>
      <c r="G112" s="8">
        <v>0</v>
      </c>
      <c r="H112" s="8">
        <v>0</v>
      </c>
      <c r="I112" s="8">
        <v>0</v>
      </c>
      <c r="J112" s="8">
        <v>13</v>
      </c>
      <c r="K112" s="8">
        <v>39</v>
      </c>
      <c r="L112" s="8">
        <v>21</v>
      </c>
      <c r="M112" s="8">
        <v>26</v>
      </c>
      <c r="N112" s="8">
        <v>14</v>
      </c>
      <c r="O112" s="8">
        <v>14</v>
      </c>
      <c r="P112" s="8">
        <v>10</v>
      </c>
      <c r="Q112" s="8">
        <v>7</v>
      </c>
      <c r="S112" s="28"/>
      <c r="T112" s="28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s="2" customFormat="1" x14ac:dyDescent="0.3">
      <c r="A113" s="1"/>
      <c r="B113" s="1"/>
      <c r="C113" s="1"/>
      <c r="E113" s="5" t="s">
        <v>11</v>
      </c>
      <c r="F113" s="76">
        <v>1</v>
      </c>
      <c r="G113" s="8">
        <v>0</v>
      </c>
      <c r="H113" s="8">
        <v>7</v>
      </c>
      <c r="I113" s="8">
        <v>3</v>
      </c>
      <c r="J113" s="8">
        <v>1</v>
      </c>
      <c r="K113" s="8">
        <v>0</v>
      </c>
      <c r="L113" s="8">
        <v>0</v>
      </c>
      <c r="M113" s="8">
        <v>0</v>
      </c>
      <c r="N113" s="8">
        <v>0</v>
      </c>
      <c r="O113" s="8">
        <v>1</v>
      </c>
      <c r="P113" s="8">
        <v>1</v>
      </c>
      <c r="Q113" s="8">
        <v>0</v>
      </c>
      <c r="S113" s="28"/>
      <c r="T113" s="28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s="2" customFormat="1" x14ac:dyDescent="0.3">
      <c r="A114" s="1"/>
      <c r="B114" s="1"/>
      <c r="C114" s="1"/>
      <c r="E114" s="5" t="s">
        <v>50</v>
      </c>
      <c r="F114" s="78">
        <v>0</v>
      </c>
      <c r="G114" s="42">
        <v>0</v>
      </c>
      <c r="H114" s="42">
        <v>0</v>
      </c>
      <c r="I114" s="42">
        <v>0</v>
      </c>
      <c r="J114" s="42">
        <v>0</v>
      </c>
      <c r="K114" s="42">
        <v>0</v>
      </c>
      <c r="L114" s="42">
        <v>0</v>
      </c>
      <c r="M114" s="42">
        <v>0</v>
      </c>
      <c r="N114" s="42">
        <v>0</v>
      </c>
      <c r="O114" s="42">
        <v>0</v>
      </c>
      <c r="P114" s="42">
        <v>0</v>
      </c>
      <c r="Q114" s="42">
        <v>0</v>
      </c>
      <c r="S114" s="28"/>
      <c r="T114" s="28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s="2" customFormat="1" x14ac:dyDescent="0.3">
      <c r="A115" s="1"/>
      <c r="B115" s="1"/>
      <c r="C115" s="1"/>
      <c r="E115" s="5" t="s">
        <v>46</v>
      </c>
      <c r="F115" s="78">
        <v>0</v>
      </c>
      <c r="G115" s="42">
        <v>26</v>
      </c>
      <c r="H115" s="42">
        <v>19</v>
      </c>
      <c r="I115" s="42">
        <v>28</v>
      </c>
      <c r="J115" s="42">
        <v>17</v>
      </c>
      <c r="K115" s="42">
        <v>0</v>
      </c>
      <c r="L115" s="42">
        <v>0</v>
      </c>
      <c r="M115" s="42">
        <v>0</v>
      </c>
      <c r="N115" s="42">
        <v>0</v>
      </c>
      <c r="O115" s="42">
        <v>0</v>
      </c>
      <c r="P115" s="42">
        <v>0</v>
      </c>
      <c r="Q115" s="42">
        <v>0</v>
      </c>
      <c r="S115" s="28"/>
      <c r="T115" s="28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s="2" customFormat="1" x14ac:dyDescent="0.3">
      <c r="A116" s="1"/>
      <c r="B116" s="1"/>
      <c r="C116" s="1"/>
      <c r="E116" s="5" t="s">
        <v>6</v>
      </c>
      <c r="F116" s="23">
        <v>399553.73000000021</v>
      </c>
      <c r="G116" s="23">
        <v>381152.78000000061</v>
      </c>
      <c r="H116" s="23">
        <v>369075.77</v>
      </c>
      <c r="I116" s="23">
        <v>354424.19000000018</v>
      </c>
      <c r="J116" s="23">
        <v>395179.25000000012</v>
      </c>
      <c r="K116" s="23">
        <v>358017.6100000001</v>
      </c>
      <c r="L116" s="23">
        <v>341563.93999999989</v>
      </c>
      <c r="M116" s="23">
        <v>323694.97000000003</v>
      </c>
      <c r="N116" s="23">
        <v>304457.04000000004</v>
      </c>
      <c r="O116" s="23">
        <v>298905.61999999988</v>
      </c>
      <c r="P116" s="23">
        <v>288757.79999999993</v>
      </c>
      <c r="Q116" s="23">
        <v>286674.37</v>
      </c>
      <c r="S116" s="28"/>
      <c r="T116" s="28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s="2" customFormat="1" x14ac:dyDescent="0.3">
      <c r="A117" s="1"/>
      <c r="B117" s="1"/>
      <c r="C117" s="1"/>
      <c r="E117" s="5" t="s">
        <v>5</v>
      </c>
      <c r="F117" s="23">
        <v>348332.01000000024</v>
      </c>
      <c r="G117" s="23">
        <v>337873.39000000065</v>
      </c>
      <c r="H117" s="23">
        <v>325029.89</v>
      </c>
      <c r="I117" s="23">
        <v>314256.86000000016</v>
      </c>
      <c r="J117" s="23">
        <v>359724.51000000013</v>
      </c>
      <c r="K117" s="23">
        <v>318384.16000000009</v>
      </c>
      <c r="L117" s="23">
        <v>301069.60999999987</v>
      </c>
      <c r="M117" s="23">
        <v>298274.26</v>
      </c>
      <c r="N117" s="23">
        <v>275832.52</v>
      </c>
      <c r="O117" s="23">
        <v>278681.81999999989</v>
      </c>
      <c r="P117" s="23">
        <v>264429.96999999991</v>
      </c>
      <c r="Q117" s="23">
        <v>255097.11</v>
      </c>
      <c r="S117" s="28"/>
      <c r="T117" s="28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s="2" customFormat="1" x14ac:dyDescent="0.3">
      <c r="A118" s="1"/>
      <c r="B118" s="1"/>
      <c r="C118" s="1"/>
      <c r="E118" s="5" t="s">
        <v>49</v>
      </c>
      <c r="F118" s="10">
        <v>0.12819732655230109</v>
      </c>
      <c r="G118" s="10">
        <v>0.94657361895881886</v>
      </c>
      <c r="H118" s="10">
        <f>IFERROR((1-H117/H116),0)</f>
        <v>0.11934102311836947</v>
      </c>
      <c r="I118" s="10">
        <f>IFERROR((1-I117/I116),0)</f>
        <v>0.11333123170853543</v>
      </c>
      <c r="J118" s="10">
        <f>IFERROR((1-J117/J116),0)</f>
        <v>8.9718121586596422E-2</v>
      </c>
      <c r="K118" s="10">
        <f>IFERROR((1-K117/K116),0)</f>
        <v>0.11070251544330456</v>
      </c>
      <c r="L118" s="10">
        <f>IFERROR((1-L117/L116),0)</f>
        <v>0.11855563558612192</v>
      </c>
      <c r="M118" s="10">
        <f>IFERROR((1-M117/M116),0)</f>
        <v>7.8532916344050796E-2</v>
      </c>
      <c r="N118" s="10">
        <f>IFERROR((1-N117/N116),0)</f>
        <v>9.4018256237398901E-2</v>
      </c>
      <c r="O118" s="10">
        <f>IFERROR((1-O117/O116),0)</f>
        <v>6.7659483953496746E-2</v>
      </c>
      <c r="P118" s="10">
        <f>IFERROR((1-P117/P116),0)</f>
        <v>8.4249949265439827E-2</v>
      </c>
      <c r="Q118" s="10">
        <f>IFERROR((1-Q117/Q116),0)</f>
        <v>0.11015027258976795</v>
      </c>
      <c r="S118" s="28"/>
      <c r="T118" s="28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s="2" customFormat="1" x14ac:dyDescent="0.3">
      <c r="A119" s="1"/>
      <c r="B119" s="1"/>
      <c r="C119" s="1"/>
      <c r="E119" s="5" t="s">
        <v>3</v>
      </c>
      <c r="F119" s="76">
        <v>20</v>
      </c>
      <c r="G119" s="8">
        <v>32</v>
      </c>
      <c r="H119" s="8">
        <v>19</v>
      </c>
      <c r="I119" s="8">
        <v>23</v>
      </c>
      <c r="J119" s="8">
        <v>21</v>
      </c>
      <c r="K119" s="8">
        <v>15</v>
      </c>
      <c r="L119" s="8">
        <v>10</v>
      </c>
      <c r="M119" s="8">
        <v>11</v>
      </c>
      <c r="N119" s="8">
        <v>0</v>
      </c>
      <c r="O119" s="8">
        <v>0</v>
      </c>
      <c r="P119" s="8">
        <v>0</v>
      </c>
      <c r="Q119" s="8">
        <v>0</v>
      </c>
      <c r="S119" s="28"/>
      <c r="T119" s="28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s="2" customFormat="1" x14ac:dyDescent="0.3">
      <c r="A120" s="1"/>
      <c r="B120" s="1"/>
      <c r="C120" s="1"/>
      <c r="E120" s="5" t="s">
        <v>2</v>
      </c>
      <c r="F120" s="75">
        <v>465.13821885913876</v>
      </c>
      <c r="G120" s="24">
        <v>280.19156142365119</v>
      </c>
      <c r="H120" s="24">
        <f>IFERROR(H116/H105,0)</f>
        <v>464.24625157232708</v>
      </c>
      <c r="I120" s="24">
        <f>IFERROR(I116/I105,0)</f>
        <v>457.32153548387117</v>
      </c>
      <c r="J120" s="24">
        <f>IFERROR(J116/J105,0)</f>
        <v>543.57530949105933</v>
      </c>
      <c r="K120" s="24">
        <f>IFERROR(K116/K105,0)</f>
        <v>526.49648529411775</v>
      </c>
      <c r="L120" s="24">
        <f>IFERROR(L116/L105,0)</f>
        <v>524.67579109062967</v>
      </c>
      <c r="M120" s="24">
        <f>IFERROR(M116/M105,0)</f>
        <v>528.05052202283855</v>
      </c>
      <c r="N120" s="24">
        <f>IFERROR(N116/N105,0)</f>
        <v>520.43938461538471</v>
      </c>
      <c r="O120" s="24">
        <f>IFERROR(O116/O105,0)</f>
        <v>542.47843920145169</v>
      </c>
      <c r="P120" s="24">
        <f>IFERROR(P116/P105,0)</f>
        <v>528.86043956043943</v>
      </c>
      <c r="Q120" s="24">
        <f>IFERROR(Q116/Q105,0)</f>
        <v>542.94388257575758</v>
      </c>
      <c r="S120" s="28"/>
      <c r="T120" s="28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s="2" customFormat="1" x14ac:dyDescent="0.3">
      <c r="A121" s="1"/>
      <c r="B121" s="1"/>
      <c r="C121" s="1"/>
      <c r="E121" s="5" t="s">
        <v>1</v>
      </c>
      <c r="F121" s="56">
        <v>0</v>
      </c>
      <c r="G121" s="56">
        <v>0</v>
      </c>
      <c r="H121" s="56">
        <v>0</v>
      </c>
      <c r="I121" s="56">
        <v>0</v>
      </c>
      <c r="J121" s="56">
        <v>0</v>
      </c>
      <c r="K121" s="56">
        <v>0</v>
      </c>
      <c r="L121" s="56">
        <v>0</v>
      </c>
      <c r="M121" s="56">
        <v>0</v>
      </c>
      <c r="N121" s="56">
        <v>0</v>
      </c>
      <c r="O121" s="56">
        <v>0</v>
      </c>
      <c r="P121" s="56">
        <v>0</v>
      </c>
      <c r="Q121" s="56">
        <v>0</v>
      </c>
      <c r="S121" s="28"/>
      <c r="T121" s="28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s="2" customFormat="1" x14ac:dyDescent="0.3">
      <c r="A122" s="1"/>
      <c r="B122" s="1"/>
      <c r="C122" s="1"/>
      <c r="E122" s="5" t="s">
        <v>0</v>
      </c>
      <c r="F122" s="56">
        <v>0</v>
      </c>
      <c r="G122" s="56">
        <v>0</v>
      </c>
      <c r="H122" s="56">
        <v>0</v>
      </c>
      <c r="I122" s="56">
        <v>0</v>
      </c>
      <c r="J122" s="56">
        <v>0</v>
      </c>
      <c r="K122" s="56">
        <v>0</v>
      </c>
      <c r="L122" s="56">
        <v>0</v>
      </c>
      <c r="M122" s="56">
        <v>0</v>
      </c>
      <c r="N122" s="56">
        <v>0</v>
      </c>
      <c r="O122" s="56">
        <v>0</v>
      </c>
      <c r="P122" s="56">
        <v>0</v>
      </c>
      <c r="Q122" s="56">
        <v>0</v>
      </c>
      <c r="S122" s="28"/>
      <c r="T122" s="28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s="2" customFormat="1" ht="3.6" customHeight="1" x14ac:dyDescent="0.3">
      <c r="F123" s="55"/>
      <c r="G123" s="55"/>
      <c r="H123" s="55"/>
      <c r="I123" s="55"/>
      <c r="J123" s="55"/>
      <c r="K123" s="55"/>
      <c r="L123" s="55"/>
      <c r="M123" s="55"/>
      <c r="N123" s="29"/>
      <c r="O123" s="29"/>
      <c r="P123" s="29"/>
      <c r="Q123" s="29"/>
      <c r="S123" s="28"/>
      <c r="T123" s="28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s="2" customFormat="1" hidden="1" x14ac:dyDescent="0.3">
      <c r="F124" s="55"/>
      <c r="G124" s="55"/>
      <c r="H124" s="55"/>
      <c r="I124" s="55">
        <f>H128-I131+I142</f>
        <v>664</v>
      </c>
      <c r="J124" s="55">
        <f>I128-J131+J142</f>
        <v>30</v>
      </c>
      <c r="K124" s="55">
        <f>J128-K131+K142</f>
        <v>21</v>
      </c>
      <c r="L124" s="55">
        <f>K128-L131+L142</f>
        <v>28</v>
      </c>
      <c r="M124" s="55">
        <f>L128-M131+M142</f>
        <v>27</v>
      </c>
      <c r="N124" s="55">
        <f>M128-N131+N142</f>
        <v>29</v>
      </c>
      <c r="O124" s="55">
        <f>N128-O131+O142</f>
        <v>27</v>
      </c>
      <c r="P124" s="55">
        <f>O128-P131+P142</f>
        <v>26</v>
      </c>
      <c r="Q124" s="29"/>
      <c r="S124" s="28"/>
      <c r="T124" s="28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s="2" customFormat="1" hidden="1" x14ac:dyDescent="0.3">
      <c r="F125" s="55"/>
      <c r="G125" s="55"/>
      <c r="H125" s="55"/>
      <c r="I125" s="55">
        <f>I128-I124</f>
        <v>-5</v>
      </c>
      <c r="J125" s="55">
        <f>J128-J124</f>
        <v>-9</v>
      </c>
      <c r="K125" s="55">
        <f>K128-K124</f>
        <v>8</v>
      </c>
      <c r="L125" s="55">
        <f>L128-L124</f>
        <v>1</v>
      </c>
      <c r="M125" s="55">
        <f>M128-M124</f>
        <v>3</v>
      </c>
      <c r="N125" s="55">
        <f>N128-N124</f>
        <v>1</v>
      </c>
      <c r="O125" s="55">
        <f>O128-O124</f>
        <v>0</v>
      </c>
      <c r="P125" s="55">
        <f>P128-P124</f>
        <v>4</v>
      </c>
      <c r="Q125" s="29"/>
      <c r="S125" s="28"/>
      <c r="T125" s="28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s="2" customFormat="1" x14ac:dyDescent="0.3">
      <c r="A126" s="1"/>
      <c r="B126" s="1"/>
      <c r="C126" s="1"/>
      <c r="E126" s="54" t="s">
        <v>33</v>
      </c>
      <c r="F126" s="54" t="s">
        <v>32</v>
      </c>
      <c r="G126" s="54" t="s">
        <v>31</v>
      </c>
      <c r="H126" s="54" t="s">
        <v>30</v>
      </c>
      <c r="I126" s="54" t="s">
        <v>29</v>
      </c>
      <c r="J126" s="54" t="s">
        <v>28</v>
      </c>
      <c r="K126" s="54" t="s">
        <v>27</v>
      </c>
      <c r="L126" s="54" t="s">
        <v>26</v>
      </c>
      <c r="M126" s="54" t="s">
        <v>25</v>
      </c>
      <c r="N126" s="54" t="s">
        <v>24</v>
      </c>
      <c r="O126" s="54" t="s">
        <v>23</v>
      </c>
      <c r="P126" s="54" t="s">
        <v>22</v>
      </c>
      <c r="Q126" s="54" t="s">
        <v>21</v>
      </c>
      <c r="S126" s="28"/>
      <c r="T126" s="28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x14ac:dyDescent="0.3">
      <c r="E127" s="5" t="s">
        <v>20</v>
      </c>
      <c r="F127" s="76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</row>
    <row r="128" spans="1:107" s="2" customFormat="1" x14ac:dyDescent="0.3">
      <c r="A128" s="1"/>
      <c r="B128" s="1"/>
      <c r="C128" s="1"/>
      <c r="E128" s="5" t="s">
        <v>19</v>
      </c>
      <c r="F128" s="76">
        <v>857</v>
      </c>
      <c r="G128" s="8">
        <f>SUM(G129:G130)</f>
        <v>840</v>
      </c>
      <c r="H128" s="8">
        <f>SUM(H129:H130)</f>
        <v>802</v>
      </c>
      <c r="I128" s="8">
        <f>SUM(I129:I130)</f>
        <v>659</v>
      </c>
      <c r="J128" s="8">
        <f>SUM(J129:J130)</f>
        <v>21</v>
      </c>
      <c r="K128" s="8">
        <f>SUM(K129:K130)</f>
        <v>29</v>
      </c>
      <c r="L128" s="8">
        <f>SUM(L129:L130)</f>
        <v>29</v>
      </c>
      <c r="M128" s="8">
        <f>SUM(M129:M130)</f>
        <v>30</v>
      </c>
      <c r="N128" s="8">
        <f>SUM(N129:N130)</f>
        <v>30</v>
      </c>
      <c r="O128" s="8">
        <f>SUM(O129:O130)</f>
        <v>27</v>
      </c>
      <c r="P128" s="8">
        <f>SUM(P129:P130)</f>
        <v>30</v>
      </c>
      <c r="Q128" s="8">
        <f>SUM(Q129:Q130)</f>
        <v>30</v>
      </c>
      <c r="S128" s="28"/>
      <c r="T128" s="28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s="2" customFormat="1" x14ac:dyDescent="0.3">
      <c r="A129" s="1"/>
      <c r="B129" s="1"/>
      <c r="C129" s="1"/>
      <c r="E129" s="14" t="s">
        <v>41</v>
      </c>
      <c r="F129" s="76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S129" s="28"/>
      <c r="T129" s="28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s="2" customFormat="1" x14ac:dyDescent="0.3">
      <c r="A130" s="1"/>
      <c r="B130" s="1"/>
      <c r="C130" s="1"/>
      <c r="E130" s="14" t="s">
        <v>40</v>
      </c>
      <c r="F130" s="76">
        <v>857</v>
      </c>
      <c r="G130" s="8">
        <v>840</v>
      </c>
      <c r="H130" s="8">
        <v>802</v>
      </c>
      <c r="I130" s="8">
        <v>659</v>
      </c>
      <c r="J130" s="8">
        <v>21</v>
      </c>
      <c r="K130" s="8">
        <v>29</v>
      </c>
      <c r="L130" s="8">
        <v>29</v>
      </c>
      <c r="M130" s="8">
        <v>30</v>
      </c>
      <c r="N130" s="8">
        <v>30</v>
      </c>
      <c r="O130" s="8">
        <v>27</v>
      </c>
      <c r="P130" s="8">
        <v>30</v>
      </c>
      <c r="Q130" s="8">
        <v>30</v>
      </c>
      <c r="S130" s="28"/>
      <c r="T130" s="28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s="2" customFormat="1" x14ac:dyDescent="0.3">
      <c r="A131" s="1"/>
      <c r="B131" s="1"/>
      <c r="C131" s="1"/>
      <c r="E131" s="5" t="s">
        <v>39</v>
      </c>
      <c r="F131" s="76">
        <v>41</v>
      </c>
      <c r="G131" s="8">
        <f>SUM(G134:G138)</f>
        <v>33</v>
      </c>
      <c r="H131" s="8">
        <f>SUM(H134:H138)</f>
        <v>45</v>
      </c>
      <c r="I131" s="8">
        <f>SUM(I134:I138)</f>
        <v>138</v>
      </c>
      <c r="J131" s="8">
        <f>SUM(J134:J138)</f>
        <v>629</v>
      </c>
      <c r="K131" s="8">
        <f>SUM(K134:K138)</f>
        <v>0</v>
      </c>
      <c r="L131" s="8">
        <f>SUM(L134:L138)</f>
        <v>1</v>
      </c>
      <c r="M131" s="8">
        <f>SUM(M134:M138)</f>
        <v>2</v>
      </c>
      <c r="N131" s="8">
        <f>SUM(N134:N138)</f>
        <v>1</v>
      </c>
      <c r="O131" s="8">
        <f>SUM(O134:O138)</f>
        <v>3</v>
      </c>
      <c r="P131" s="8">
        <f>SUM(P134:P138)</f>
        <v>1</v>
      </c>
      <c r="Q131" s="8">
        <f>SUM(Q134:Q138)</f>
        <v>0</v>
      </c>
      <c r="S131" s="28"/>
      <c r="T131" s="28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s="2" customFormat="1" x14ac:dyDescent="0.3">
      <c r="A132" s="1"/>
      <c r="B132" s="1"/>
      <c r="C132" s="1"/>
      <c r="E132" s="5" t="s">
        <v>15</v>
      </c>
      <c r="F132" s="76">
        <v>6</v>
      </c>
      <c r="G132" s="8">
        <v>2</v>
      </c>
      <c r="H132" s="8">
        <v>15</v>
      </c>
      <c r="I132" s="8">
        <v>0</v>
      </c>
      <c r="J132" s="8">
        <v>0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S132" s="28"/>
      <c r="T132" s="28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s="2" customFormat="1" x14ac:dyDescent="0.3">
      <c r="A133" s="1"/>
      <c r="B133" s="1"/>
      <c r="C133" s="1"/>
      <c r="E133" s="5" t="s">
        <v>14</v>
      </c>
      <c r="F133" s="10">
        <v>2.2777777777777777</v>
      </c>
      <c r="G133" s="10">
        <v>3.5005834305717621E-3</v>
      </c>
      <c r="H133" s="10">
        <f>IFERROR(H131/G128,0)</f>
        <v>5.3571428571428568E-2</v>
      </c>
      <c r="I133" s="10">
        <f>IFERROR(I131/H128,0)</f>
        <v>0.17206982543640897</v>
      </c>
      <c r="J133" s="10">
        <f>IFERROR(J131/I128,0)</f>
        <v>0.95447647951441583</v>
      </c>
      <c r="K133" s="10">
        <f>IFERROR(K131/J128,0)</f>
        <v>0</v>
      </c>
      <c r="L133" s="10">
        <f>IFERROR(L131/K128,0)</f>
        <v>3.4482758620689655E-2</v>
      </c>
      <c r="M133" s="10">
        <f>IFERROR(M131/L128,0)</f>
        <v>6.8965517241379309E-2</v>
      </c>
      <c r="N133" s="10">
        <f>IFERROR(N131/M128,0)</f>
        <v>3.3333333333333333E-2</v>
      </c>
      <c r="O133" s="10">
        <f>IFERROR(O131/N128,0)</f>
        <v>0.1</v>
      </c>
      <c r="P133" s="10">
        <f>IFERROR(P131/O128,0)</f>
        <v>3.7037037037037035E-2</v>
      </c>
      <c r="Q133" s="10">
        <f>IFERROR(Q131/P128,0)</f>
        <v>0</v>
      </c>
      <c r="S133" s="28"/>
      <c r="T133" s="28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s="2" customFormat="1" x14ac:dyDescent="0.3">
      <c r="A134" s="1"/>
      <c r="B134" s="1"/>
      <c r="C134" s="1"/>
      <c r="E134" s="5" t="s">
        <v>13</v>
      </c>
      <c r="F134" s="76">
        <v>18</v>
      </c>
      <c r="G134" s="8">
        <v>6</v>
      </c>
      <c r="H134" s="8">
        <v>13</v>
      </c>
      <c r="I134" s="8">
        <v>5</v>
      </c>
      <c r="J134" s="8">
        <v>7</v>
      </c>
      <c r="K134" s="8">
        <v>0</v>
      </c>
      <c r="L134" s="8">
        <v>0</v>
      </c>
      <c r="M134" s="8">
        <v>0</v>
      </c>
      <c r="N134" s="8">
        <v>0</v>
      </c>
      <c r="O134" s="8">
        <v>2</v>
      </c>
      <c r="P134" s="8">
        <v>0</v>
      </c>
      <c r="Q134" s="8">
        <v>0</v>
      </c>
      <c r="S134" s="28"/>
      <c r="T134" s="28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s="2" customFormat="1" x14ac:dyDescent="0.3">
      <c r="A135" s="1"/>
      <c r="B135" s="1"/>
      <c r="C135" s="1"/>
      <c r="E135" s="5" t="s">
        <v>12</v>
      </c>
      <c r="F135" s="76">
        <v>20</v>
      </c>
      <c r="G135" s="8">
        <v>0</v>
      </c>
      <c r="H135" s="8">
        <v>0</v>
      </c>
      <c r="I135" s="8">
        <v>0</v>
      </c>
      <c r="J135" s="8">
        <v>6</v>
      </c>
      <c r="K135" s="8">
        <v>0</v>
      </c>
      <c r="L135" s="8">
        <v>0</v>
      </c>
      <c r="M135" s="8">
        <v>2</v>
      </c>
      <c r="N135" s="8">
        <v>0</v>
      </c>
      <c r="O135" s="8">
        <v>1</v>
      </c>
      <c r="P135" s="8">
        <v>0</v>
      </c>
      <c r="Q135" s="8">
        <v>0</v>
      </c>
      <c r="S135" s="28"/>
      <c r="T135" s="28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s="2" customFormat="1" x14ac:dyDescent="0.3">
      <c r="A136" s="1"/>
      <c r="B136" s="1"/>
      <c r="C136" s="1"/>
      <c r="E136" s="5" t="s">
        <v>11</v>
      </c>
      <c r="F136" s="76">
        <v>3</v>
      </c>
      <c r="G136" s="8">
        <v>1</v>
      </c>
      <c r="H136" s="8">
        <v>6</v>
      </c>
      <c r="I136" s="8">
        <v>9</v>
      </c>
      <c r="J136" s="8">
        <v>0</v>
      </c>
      <c r="K136" s="8">
        <v>0</v>
      </c>
      <c r="L136" s="8">
        <v>0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S136" s="28"/>
      <c r="T136" s="28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s="2" customFormat="1" x14ac:dyDescent="0.3">
      <c r="A137" s="1"/>
      <c r="B137" s="1"/>
      <c r="C137" s="1"/>
      <c r="E137" s="5" t="s">
        <v>50</v>
      </c>
      <c r="F137" s="78">
        <v>0</v>
      </c>
      <c r="G137" s="42">
        <v>0</v>
      </c>
      <c r="H137" s="42">
        <v>0</v>
      </c>
      <c r="I137" s="42">
        <v>0</v>
      </c>
      <c r="J137" s="42">
        <v>1</v>
      </c>
      <c r="K137" s="42">
        <v>0</v>
      </c>
      <c r="L137" s="42">
        <v>0</v>
      </c>
      <c r="M137" s="42">
        <v>0</v>
      </c>
      <c r="N137" s="42">
        <v>1</v>
      </c>
      <c r="O137" s="42">
        <v>0</v>
      </c>
      <c r="P137" s="42">
        <v>0</v>
      </c>
      <c r="Q137" s="42">
        <v>0</v>
      </c>
      <c r="S137" s="28"/>
      <c r="T137" s="28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s="2" customFormat="1" x14ac:dyDescent="0.3">
      <c r="A138" s="1"/>
      <c r="B138" s="1"/>
      <c r="C138" s="1"/>
      <c r="E138" s="5" t="s">
        <v>46</v>
      </c>
      <c r="F138" s="78">
        <v>0</v>
      </c>
      <c r="G138" s="42">
        <v>26</v>
      </c>
      <c r="H138" s="42">
        <v>26</v>
      </c>
      <c r="I138" s="42">
        <v>124</v>
      </c>
      <c r="J138" s="42">
        <v>615</v>
      </c>
      <c r="K138" s="42">
        <v>0</v>
      </c>
      <c r="L138" s="42">
        <v>1</v>
      </c>
      <c r="M138" s="42">
        <v>0</v>
      </c>
      <c r="N138" s="42">
        <v>0</v>
      </c>
      <c r="O138" s="42">
        <v>0</v>
      </c>
      <c r="P138" s="42">
        <v>1</v>
      </c>
      <c r="Q138" s="42">
        <v>0</v>
      </c>
      <c r="S138" s="28"/>
      <c r="T138" s="28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s="2" customFormat="1" x14ac:dyDescent="0.3">
      <c r="A139" s="1"/>
      <c r="B139" s="1"/>
      <c r="C139" s="1"/>
      <c r="E139" s="5" t="s">
        <v>6</v>
      </c>
      <c r="F139" s="23">
        <v>956884.03</v>
      </c>
      <c r="G139" s="23">
        <v>937069.2200000009</v>
      </c>
      <c r="H139" s="23">
        <v>895691.13000000047</v>
      </c>
      <c r="I139" s="23">
        <v>686249.35000000102</v>
      </c>
      <c r="J139" s="23">
        <v>68816.269999999975</v>
      </c>
      <c r="K139" s="23">
        <v>28174.28</v>
      </c>
      <c r="L139" s="23">
        <v>39485.160000000003</v>
      </c>
      <c r="M139" s="23">
        <v>40647.19000000001</v>
      </c>
      <c r="N139" s="23">
        <v>43474.13</v>
      </c>
      <c r="O139" s="23">
        <v>36954.14</v>
      </c>
      <c r="P139" s="23">
        <v>36209.19</v>
      </c>
      <c r="Q139" s="23">
        <v>36228.710000000006</v>
      </c>
      <c r="S139" s="28"/>
      <c r="T139" s="28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s="2" customFormat="1" x14ac:dyDescent="0.3">
      <c r="A140" s="1"/>
      <c r="B140" s="1"/>
      <c r="C140" s="1"/>
      <c r="E140" s="5" t="s">
        <v>5</v>
      </c>
      <c r="F140" s="23">
        <v>880555.88</v>
      </c>
      <c r="G140" s="23">
        <v>870380.45000000088</v>
      </c>
      <c r="H140" s="23">
        <v>818448.4100000005</v>
      </c>
      <c r="I140" s="23">
        <v>587436.21000000113</v>
      </c>
      <c r="J140" s="23">
        <v>51182.729999999981</v>
      </c>
      <c r="K140" s="23">
        <v>23452.18</v>
      </c>
      <c r="L140" s="23">
        <v>36439.030000000006</v>
      </c>
      <c r="M140" s="23">
        <v>35576.030000000006</v>
      </c>
      <c r="N140" s="23">
        <v>37701.939999999995</v>
      </c>
      <c r="O140" s="23">
        <v>31192.080000000002</v>
      </c>
      <c r="P140" s="23">
        <v>29045.430000000004</v>
      </c>
      <c r="Q140" s="23">
        <v>29592.490000000005</v>
      </c>
      <c r="S140" s="28"/>
      <c r="T140" s="28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s="2" customFormat="1" x14ac:dyDescent="0.3">
      <c r="A141" s="1"/>
      <c r="B141" s="1"/>
      <c r="C141" s="1"/>
      <c r="E141" s="5" t="s">
        <v>49</v>
      </c>
      <c r="F141" s="10">
        <v>7.9767398772451092E-2</v>
      </c>
      <c r="G141" s="10">
        <v>0.90732177755907151</v>
      </c>
      <c r="H141" s="10">
        <f>IFERROR((1-H140/H139),0)</f>
        <v>8.6238120946893759E-2</v>
      </c>
      <c r="I141" s="10">
        <f>IFERROR((1-I140/I139),0)</f>
        <v>0.14399014002709032</v>
      </c>
      <c r="J141" s="10">
        <f>IFERROR((1-J140/J139),0)</f>
        <v>0.25624085699501009</v>
      </c>
      <c r="K141" s="10">
        <f>IFERROR((1-K140/K139),0)</f>
        <v>0.16760321825437952</v>
      </c>
      <c r="L141" s="10">
        <f>IFERROR((1-L140/L139),0)</f>
        <v>7.7146198723773596E-2</v>
      </c>
      <c r="M141" s="10">
        <f>IFERROR((1-M140/M139),0)</f>
        <v>0.12476040779202702</v>
      </c>
      <c r="N141" s="10">
        <f>IFERROR((1-N140/N139),0)</f>
        <v>0.13277298476128219</v>
      </c>
      <c r="O141" s="10">
        <f>IFERROR((1-O140/O139),0)</f>
        <v>0.1559246135886263</v>
      </c>
      <c r="P141" s="10">
        <f>IFERROR((1-P140/P139),0)</f>
        <v>0.19784369658641898</v>
      </c>
      <c r="Q141" s="10">
        <f>IFERROR((1-Q140/Q139),0)</f>
        <v>0.18317571892568074</v>
      </c>
      <c r="S141" s="28"/>
      <c r="T141" s="28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s="2" customFormat="1" x14ac:dyDescent="0.3">
      <c r="A142" s="1"/>
      <c r="B142" s="1"/>
      <c r="C142" s="1"/>
      <c r="E142" s="5" t="s">
        <v>3</v>
      </c>
      <c r="F142" s="76">
        <v>15</v>
      </c>
      <c r="G142" s="8">
        <v>17</v>
      </c>
      <c r="H142" s="8">
        <v>6</v>
      </c>
      <c r="I142" s="8">
        <v>0</v>
      </c>
      <c r="J142" s="8">
        <v>0</v>
      </c>
      <c r="K142" s="8">
        <v>0</v>
      </c>
      <c r="L142" s="8">
        <v>0</v>
      </c>
      <c r="M142" s="8">
        <v>0</v>
      </c>
      <c r="N142" s="8">
        <v>0</v>
      </c>
      <c r="O142" s="8">
        <v>0</v>
      </c>
      <c r="P142" s="8">
        <v>0</v>
      </c>
      <c r="Q142" s="8">
        <v>0</v>
      </c>
      <c r="S142" s="28"/>
      <c r="T142" s="28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s="2" customFormat="1" x14ac:dyDescent="0.3">
      <c r="A143" s="1"/>
      <c r="B143" s="1"/>
      <c r="C143" s="1"/>
      <c r="E143" s="5" t="s">
        <v>2</v>
      </c>
      <c r="F143" s="75">
        <v>1116.5507934655777</v>
      </c>
      <c r="G143" s="24">
        <v>716.18698504027702</v>
      </c>
      <c r="H143" s="24">
        <f>IFERROR(H139/H128,0)</f>
        <v>1116.8218578553622</v>
      </c>
      <c r="I143" s="24">
        <f>IFERROR(I139/I128,0)</f>
        <v>1041.3495447647967</v>
      </c>
      <c r="J143" s="24">
        <f>IFERROR(J139/J128,0)</f>
        <v>3276.9652380952371</v>
      </c>
      <c r="K143" s="24">
        <f>IFERROR(K139/K128,0)</f>
        <v>971.52689655172412</v>
      </c>
      <c r="L143" s="24">
        <f>IFERROR(L139/L128,0)</f>
        <v>1361.5572413793104</v>
      </c>
      <c r="M143" s="24">
        <f>IFERROR(M139/M128,0)</f>
        <v>1354.9063333333336</v>
      </c>
      <c r="N143" s="24">
        <f>IFERROR(N139/N128,0)</f>
        <v>1449.1376666666665</v>
      </c>
      <c r="O143" s="24">
        <f>IFERROR(O139/O128,0)</f>
        <v>1368.6718518518519</v>
      </c>
      <c r="P143" s="24">
        <f>IFERROR(P139/P128,0)</f>
        <v>1206.9730000000002</v>
      </c>
      <c r="Q143" s="24">
        <f>IFERROR(Q139/Q128,0)</f>
        <v>1207.6236666666668</v>
      </c>
      <c r="S143" s="28"/>
      <c r="T143" s="28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s="2" customFormat="1" x14ac:dyDescent="0.3">
      <c r="A144" s="1"/>
      <c r="B144" s="1"/>
      <c r="C144" s="1"/>
      <c r="E144" s="5" t="s">
        <v>1</v>
      </c>
      <c r="F144" s="56">
        <v>0</v>
      </c>
      <c r="G144" s="56">
        <v>0</v>
      </c>
      <c r="H144" s="56">
        <v>0</v>
      </c>
      <c r="I144" s="56">
        <v>0</v>
      </c>
      <c r="J144" s="56">
        <v>0</v>
      </c>
      <c r="K144" s="56">
        <v>0</v>
      </c>
      <c r="L144" s="56">
        <v>0</v>
      </c>
      <c r="M144" s="56">
        <v>0</v>
      </c>
      <c r="N144" s="56">
        <v>0</v>
      </c>
      <c r="O144" s="56">
        <v>0</v>
      </c>
      <c r="P144" s="56">
        <v>0</v>
      </c>
      <c r="Q144" s="56">
        <v>0</v>
      </c>
      <c r="S144" s="28"/>
      <c r="T144" s="28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s="2" customFormat="1" x14ac:dyDescent="0.3">
      <c r="A145" s="1"/>
      <c r="B145" s="1"/>
      <c r="C145" s="1"/>
      <c r="E145" s="5" t="s">
        <v>0</v>
      </c>
      <c r="F145" s="56">
        <v>0</v>
      </c>
      <c r="G145" s="56">
        <v>0</v>
      </c>
      <c r="H145" s="56">
        <v>0</v>
      </c>
      <c r="I145" s="56">
        <v>0</v>
      </c>
      <c r="J145" s="56">
        <v>0</v>
      </c>
      <c r="K145" s="56">
        <v>0</v>
      </c>
      <c r="L145" s="56">
        <v>0</v>
      </c>
      <c r="M145" s="56">
        <v>0</v>
      </c>
      <c r="N145" s="56">
        <v>0</v>
      </c>
      <c r="O145" s="56">
        <v>0</v>
      </c>
      <c r="P145" s="56">
        <v>0</v>
      </c>
      <c r="Q145" s="56">
        <v>0</v>
      </c>
      <c r="S145" s="28"/>
      <c r="T145" s="28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s="2" customFormat="1" hidden="1" x14ac:dyDescent="0.3">
      <c r="F146" s="55"/>
      <c r="G146" s="55"/>
      <c r="H146" s="55"/>
      <c r="I146" s="61"/>
      <c r="J146" s="55"/>
      <c r="K146" s="60"/>
      <c r="L146" s="29"/>
      <c r="M146" s="29"/>
      <c r="N146" s="29"/>
      <c r="O146" s="29"/>
      <c r="P146" s="29"/>
      <c r="Q146" s="29"/>
      <c r="S146" s="28"/>
      <c r="T146" s="28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s="2" customFormat="1" hidden="1" x14ac:dyDescent="0.3">
      <c r="F147" s="55"/>
      <c r="G147" s="55"/>
      <c r="H147" s="55"/>
      <c r="I147" s="61"/>
      <c r="J147" s="55"/>
      <c r="K147" s="60"/>
      <c r="L147" s="29"/>
      <c r="M147" s="29"/>
      <c r="N147" s="29"/>
      <c r="O147" s="29"/>
      <c r="P147" s="29"/>
      <c r="Q147" s="29"/>
      <c r="S147" s="28"/>
      <c r="T147" s="28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s="2" customFormat="1" ht="3.6" customHeight="1" x14ac:dyDescent="0.3">
      <c r="F148" s="55"/>
      <c r="G148" s="55"/>
      <c r="H148" s="55"/>
      <c r="I148" s="61"/>
      <c r="J148" s="55"/>
      <c r="K148" s="60"/>
      <c r="L148" s="29"/>
      <c r="M148" s="29"/>
      <c r="N148" s="29"/>
      <c r="O148" s="29"/>
      <c r="P148" s="29"/>
      <c r="Q148" s="29"/>
      <c r="S148" s="28"/>
      <c r="T148" s="28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s="2" customFormat="1" x14ac:dyDescent="0.3">
      <c r="A149" s="1"/>
      <c r="B149" s="1"/>
      <c r="C149" s="1"/>
      <c r="E149" s="54" t="s">
        <v>33</v>
      </c>
      <c r="F149" s="54" t="s">
        <v>32</v>
      </c>
      <c r="G149" s="54" t="s">
        <v>31</v>
      </c>
      <c r="H149" s="54" t="s">
        <v>30</v>
      </c>
      <c r="I149" s="54" t="s">
        <v>29</v>
      </c>
      <c r="J149" s="54" t="s">
        <v>28</v>
      </c>
      <c r="K149" s="54" t="s">
        <v>27</v>
      </c>
      <c r="L149" s="54" t="s">
        <v>26</v>
      </c>
      <c r="M149" s="54" t="s">
        <v>25</v>
      </c>
      <c r="N149" s="54" t="s">
        <v>24</v>
      </c>
      <c r="O149" s="54" t="s">
        <v>23</v>
      </c>
      <c r="P149" s="54" t="s">
        <v>22</v>
      </c>
      <c r="Q149" s="54" t="s">
        <v>21</v>
      </c>
      <c r="S149" s="28"/>
      <c r="T149" s="28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x14ac:dyDescent="0.3">
      <c r="E150" s="5" t="s">
        <v>20</v>
      </c>
      <c r="F150" s="76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</row>
    <row r="151" spans="1:107" s="2" customFormat="1" x14ac:dyDescent="0.3">
      <c r="A151" s="1"/>
      <c r="B151" s="1"/>
      <c r="C151" s="1"/>
      <c r="E151" s="5" t="s">
        <v>19</v>
      </c>
      <c r="F151" s="76">
        <v>1406</v>
      </c>
      <c r="G151" s="8">
        <f>SUM(G152:G153)</f>
        <v>1437</v>
      </c>
      <c r="H151" s="8">
        <f>SUM(H152:H153)</f>
        <v>1374</v>
      </c>
      <c r="I151" s="8">
        <f>SUM(I152:I153)</f>
        <v>1324</v>
      </c>
      <c r="J151" s="8">
        <f>SUM(J152:J153)</f>
        <v>1308</v>
      </c>
      <c r="K151" s="8">
        <f>SUM(K152:K153)</f>
        <v>1328</v>
      </c>
      <c r="L151" s="8">
        <f>SUM(L152:L153)</f>
        <v>1408</v>
      </c>
      <c r="M151" s="8">
        <f>SUM(M152:M153)</f>
        <v>1522</v>
      </c>
      <c r="N151" s="8">
        <f>SUM(N152:N153)</f>
        <v>1634</v>
      </c>
      <c r="O151" s="8">
        <f>SUM(O152:O153)</f>
        <v>1763</v>
      </c>
      <c r="P151" s="8">
        <f>SUM(P152:P153)</f>
        <v>1865</v>
      </c>
      <c r="Q151" s="8">
        <f>SUM(Q152:Q153)</f>
        <v>1911</v>
      </c>
      <c r="S151" s="28"/>
      <c r="T151" s="28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s="2" customFormat="1" x14ac:dyDescent="0.3">
      <c r="A152" s="1"/>
      <c r="B152" s="1"/>
      <c r="C152" s="1"/>
      <c r="E152" s="14" t="s">
        <v>41</v>
      </c>
      <c r="F152" s="76">
        <v>3</v>
      </c>
      <c r="G152" s="8">
        <v>3</v>
      </c>
      <c r="H152" s="8">
        <v>2</v>
      </c>
      <c r="I152" s="8">
        <v>2</v>
      </c>
      <c r="J152" s="8">
        <v>0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S152" s="28"/>
      <c r="T152" s="28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s="2" customFormat="1" x14ac:dyDescent="0.3">
      <c r="A153" s="1"/>
      <c r="B153" s="1"/>
      <c r="C153" s="1"/>
      <c r="E153" s="14" t="s">
        <v>40</v>
      </c>
      <c r="F153" s="76">
        <v>1403</v>
      </c>
      <c r="G153" s="8">
        <v>1434</v>
      </c>
      <c r="H153" s="8">
        <v>1372</v>
      </c>
      <c r="I153" s="8">
        <v>1322</v>
      </c>
      <c r="J153" s="8">
        <v>1308</v>
      </c>
      <c r="K153" s="8">
        <v>1328</v>
      </c>
      <c r="L153" s="8">
        <v>1408</v>
      </c>
      <c r="M153" s="8">
        <v>1522</v>
      </c>
      <c r="N153" s="8">
        <v>1634</v>
      </c>
      <c r="O153" s="8">
        <v>1763</v>
      </c>
      <c r="P153" s="8">
        <v>1865</v>
      </c>
      <c r="Q153" s="8">
        <v>1911</v>
      </c>
      <c r="S153" s="28"/>
      <c r="T153" s="28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s="2" customFormat="1" x14ac:dyDescent="0.3">
      <c r="A154" s="1"/>
      <c r="B154" s="1"/>
      <c r="C154" s="1"/>
      <c r="E154" s="5" t="s">
        <v>39</v>
      </c>
      <c r="F154" s="76">
        <v>124</v>
      </c>
      <c r="G154" s="8">
        <f>SUM(G157:G161)</f>
        <v>93</v>
      </c>
      <c r="H154" s="8">
        <f>SUM(H157:H161)</f>
        <v>112</v>
      </c>
      <c r="I154" s="8">
        <f>SUM(I157:I161)</f>
        <v>103</v>
      </c>
      <c r="J154" s="8">
        <f>SUM(J157:J161)</f>
        <v>93</v>
      </c>
      <c r="K154" s="8">
        <f>SUM(K157:K161)</f>
        <v>78</v>
      </c>
      <c r="L154" s="8">
        <f>SUM(L157:L161)</f>
        <v>72</v>
      </c>
      <c r="M154" s="8">
        <f>SUM(M157:M161)</f>
        <v>88</v>
      </c>
      <c r="N154" s="8">
        <f>SUM(N157:N161)</f>
        <v>81</v>
      </c>
      <c r="O154" s="8">
        <f>SUM(O157:O161)</f>
        <v>75</v>
      </c>
      <c r="P154" s="8">
        <f>SUM(P157:P161)</f>
        <v>66</v>
      </c>
      <c r="Q154" s="8">
        <f>SUM(Q157:Q161)</f>
        <v>68</v>
      </c>
      <c r="S154" s="28"/>
      <c r="T154" s="28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s="2" customFormat="1" x14ac:dyDescent="0.3">
      <c r="A155" s="1"/>
      <c r="B155" s="1"/>
      <c r="C155" s="1"/>
      <c r="E155" s="5" t="s">
        <v>15</v>
      </c>
      <c r="F155" s="76">
        <v>8</v>
      </c>
      <c r="G155" s="8">
        <v>8</v>
      </c>
      <c r="H155" s="8">
        <v>13</v>
      </c>
      <c r="I155" s="8">
        <v>7</v>
      </c>
      <c r="J155" s="8">
        <v>5</v>
      </c>
      <c r="K155" s="8">
        <v>12</v>
      </c>
      <c r="L155" s="8">
        <v>15</v>
      </c>
      <c r="M155" s="8">
        <v>4</v>
      </c>
      <c r="N155" s="8">
        <v>10</v>
      </c>
      <c r="O155" s="8">
        <v>4</v>
      </c>
      <c r="P155" s="8">
        <v>8</v>
      </c>
      <c r="Q155" s="8">
        <v>10</v>
      </c>
      <c r="S155" s="28"/>
      <c r="T155" s="28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s="2" customFormat="1" x14ac:dyDescent="0.3">
      <c r="A156" s="1"/>
      <c r="B156" s="1"/>
      <c r="C156" s="1"/>
      <c r="E156" s="5" t="s">
        <v>14</v>
      </c>
      <c r="F156" s="10">
        <v>1.4090909090909092</v>
      </c>
      <c r="G156" s="10">
        <v>2.8449502133712661E-3</v>
      </c>
      <c r="H156" s="10">
        <f>IFERROR(H154/G151,0)</f>
        <v>7.7940153096729303E-2</v>
      </c>
      <c r="I156" s="10">
        <f>IFERROR(I154/H151,0)</f>
        <v>7.4963609898107714E-2</v>
      </c>
      <c r="J156" s="10">
        <f>IFERROR(J154/I151,0)</f>
        <v>7.02416918429003E-2</v>
      </c>
      <c r="K156" s="10">
        <f>IFERROR(K154/J151,0)</f>
        <v>5.9633027522935783E-2</v>
      </c>
      <c r="L156" s="10">
        <f>IFERROR(L154/K151,0)</f>
        <v>5.4216867469879519E-2</v>
      </c>
      <c r="M156" s="10">
        <f>IFERROR(M154/L151,0)</f>
        <v>6.25E-2</v>
      </c>
      <c r="N156" s="10">
        <f>IFERROR(N154/M151,0)</f>
        <v>5.3219448094612355E-2</v>
      </c>
      <c r="O156" s="10">
        <f>IFERROR(O154/N151,0)</f>
        <v>4.5899632802937573E-2</v>
      </c>
      <c r="P156" s="10">
        <f>IFERROR(P154/O151,0)</f>
        <v>3.7436188315371523E-2</v>
      </c>
      <c r="Q156" s="10">
        <f>IFERROR(Q154/P151,0)</f>
        <v>3.646112600536193E-2</v>
      </c>
      <c r="S156" s="28"/>
      <c r="T156" s="28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s="2" customFormat="1" x14ac:dyDescent="0.3">
      <c r="A157" s="1"/>
      <c r="B157" s="1"/>
      <c r="C157" s="1"/>
      <c r="E157" s="5" t="s">
        <v>13</v>
      </c>
      <c r="F157" s="76">
        <v>80</v>
      </c>
      <c r="G157" s="8">
        <v>48</v>
      </c>
      <c r="H157" s="8">
        <v>70</v>
      </c>
      <c r="I157" s="8">
        <v>66</v>
      </c>
      <c r="J157" s="8">
        <v>68</v>
      </c>
      <c r="K157" s="8">
        <v>42</v>
      </c>
      <c r="L157" s="8">
        <v>46</v>
      </c>
      <c r="M157" s="8">
        <v>39</v>
      </c>
      <c r="N157" s="8">
        <v>38</v>
      </c>
      <c r="O157" s="8">
        <v>36</v>
      </c>
      <c r="P157" s="8">
        <v>35</v>
      </c>
      <c r="Q157" s="8">
        <v>48</v>
      </c>
      <c r="S157" s="28"/>
      <c r="T157" s="28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s="2" customFormat="1" x14ac:dyDescent="0.3">
      <c r="A158" s="1"/>
      <c r="B158" s="1"/>
      <c r="C158" s="1"/>
      <c r="E158" s="5" t="s">
        <v>12</v>
      </c>
      <c r="F158" s="76">
        <v>44</v>
      </c>
      <c r="G158" s="8">
        <v>0</v>
      </c>
      <c r="H158" s="8">
        <v>0</v>
      </c>
      <c r="I158" s="8">
        <v>0</v>
      </c>
      <c r="J158" s="8">
        <v>11</v>
      </c>
      <c r="K158" s="8">
        <v>36</v>
      </c>
      <c r="L158" s="8">
        <v>26</v>
      </c>
      <c r="M158" s="8">
        <v>48</v>
      </c>
      <c r="N158" s="8">
        <v>39</v>
      </c>
      <c r="O158" s="8">
        <v>39</v>
      </c>
      <c r="P158" s="8">
        <v>31</v>
      </c>
      <c r="Q158" s="8">
        <v>20</v>
      </c>
      <c r="S158" s="28"/>
      <c r="T158" s="28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s="2" customFormat="1" x14ac:dyDescent="0.3">
      <c r="A159" s="1"/>
      <c r="B159" s="1"/>
      <c r="C159" s="1"/>
      <c r="E159" s="5" t="s">
        <v>11</v>
      </c>
      <c r="F159" s="76">
        <v>0</v>
      </c>
      <c r="G159" s="8">
        <v>0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S159" s="28"/>
      <c r="T159" s="28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s="2" customFormat="1" x14ac:dyDescent="0.3">
      <c r="A160" s="1"/>
      <c r="B160" s="1"/>
      <c r="C160" s="1"/>
      <c r="E160" s="5" t="s">
        <v>50</v>
      </c>
      <c r="F160" s="78">
        <v>0</v>
      </c>
      <c r="G160" s="42">
        <v>0</v>
      </c>
      <c r="H160" s="42">
        <v>0</v>
      </c>
      <c r="I160" s="42">
        <v>0</v>
      </c>
      <c r="J160" s="42">
        <v>0</v>
      </c>
      <c r="K160" s="42">
        <v>0</v>
      </c>
      <c r="L160" s="42">
        <v>0</v>
      </c>
      <c r="M160" s="42">
        <v>0</v>
      </c>
      <c r="N160" s="42">
        <v>0</v>
      </c>
      <c r="O160" s="42">
        <v>0</v>
      </c>
      <c r="P160" s="42">
        <v>0</v>
      </c>
      <c r="Q160" s="42">
        <v>0</v>
      </c>
      <c r="S160" s="28"/>
      <c r="T160" s="28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s="2" customFormat="1" x14ac:dyDescent="0.3">
      <c r="A161" s="1"/>
      <c r="B161" s="1"/>
      <c r="C161" s="1"/>
      <c r="E161" s="5" t="s">
        <v>46</v>
      </c>
      <c r="F161" s="78">
        <v>0</v>
      </c>
      <c r="G161" s="42">
        <v>45</v>
      </c>
      <c r="H161" s="42">
        <v>42</v>
      </c>
      <c r="I161" s="42">
        <v>37</v>
      </c>
      <c r="J161" s="42">
        <v>14</v>
      </c>
      <c r="K161" s="42">
        <v>0</v>
      </c>
      <c r="L161" s="42">
        <v>0</v>
      </c>
      <c r="M161" s="42">
        <v>1</v>
      </c>
      <c r="N161" s="42">
        <v>4</v>
      </c>
      <c r="O161" s="42">
        <v>0</v>
      </c>
      <c r="P161" s="42">
        <v>0</v>
      </c>
      <c r="Q161" s="42">
        <v>0</v>
      </c>
      <c r="S161" s="28"/>
      <c r="T161" s="28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s="2" customFormat="1" x14ac:dyDescent="0.3">
      <c r="A162" s="1"/>
      <c r="B162" s="1"/>
      <c r="C162" s="1"/>
      <c r="E162" s="5" t="s">
        <v>6</v>
      </c>
      <c r="F162" s="23">
        <v>362759.83999999962</v>
      </c>
      <c r="G162" s="23">
        <v>371897.30999999994</v>
      </c>
      <c r="H162" s="23">
        <v>402989.64000000095</v>
      </c>
      <c r="I162" s="23">
        <v>399589.05000000133</v>
      </c>
      <c r="J162" s="23">
        <v>402226.39000000077</v>
      </c>
      <c r="K162" s="23">
        <v>416254.89000000118</v>
      </c>
      <c r="L162" s="23">
        <v>462421.02000000072</v>
      </c>
      <c r="M162" s="23">
        <v>516748.67000000138</v>
      </c>
      <c r="N162" s="23">
        <v>566414.4100000012</v>
      </c>
      <c r="O162" s="23">
        <v>610574.61000000034</v>
      </c>
      <c r="P162" s="23">
        <v>649782.86</v>
      </c>
      <c r="Q162" s="23">
        <v>673080.57000000041</v>
      </c>
      <c r="S162" s="28"/>
      <c r="T162" s="28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s="2" customFormat="1" x14ac:dyDescent="0.3">
      <c r="A163" s="1"/>
      <c r="B163" s="1"/>
      <c r="C163" s="1"/>
      <c r="E163" s="5" t="s">
        <v>5</v>
      </c>
      <c r="F163" s="23">
        <v>297671.02999999956</v>
      </c>
      <c r="G163" s="23">
        <v>301570.84999999992</v>
      </c>
      <c r="H163" s="23">
        <v>319474.23000000091</v>
      </c>
      <c r="I163" s="23">
        <v>319890.15000000125</v>
      </c>
      <c r="J163" s="23">
        <v>343459.91000000085</v>
      </c>
      <c r="K163" s="23">
        <v>345826.63000000123</v>
      </c>
      <c r="L163" s="23">
        <v>388853.45000000077</v>
      </c>
      <c r="M163" s="23">
        <v>444951.1300000014</v>
      </c>
      <c r="N163" s="23">
        <v>472563.92000000109</v>
      </c>
      <c r="O163" s="23">
        <v>526723.43000000028</v>
      </c>
      <c r="P163" s="23">
        <v>548364.22999999986</v>
      </c>
      <c r="Q163" s="23">
        <v>561802.45000000019</v>
      </c>
      <c r="S163" s="28"/>
      <c r="T163" s="28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s="2" customFormat="1" x14ac:dyDescent="0.3">
      <c r="A164" s="1"/>
      <c r="B164" s="1"/>
      <c r="C164" s="1"/>
      <c r="E164" s="5" t="s">
        <v>49</v>
      </c>
      <c r="F164" s="10">
        <v>0.17942672485465905</v>
      </c>
      <c r="G164" s="10">
        <v>0.95541339030944128</v>
      </c>
      <c r="H164" s="10">
        <f>IFERROR((1-H163/H162),0)</f>
        <v>0.20723959553898164</v>
      </c>
      <c r="I164" s="10">
        <f>IFERROR((1-I163/I162),0)</f>
        <v>0.19945216216510386</v>
      </c>
      <c r="J164" s="10">
        <f>IFERROR((1-J163/J162),0)</f>
        <v>0.14610299438582286</v>
      </c>
      <c r="K164" s="10">
        <f>IFERROR((1-K163/K162),0)</f>
        <v>0.16919503336044839</v>
      </c>
      <c r="L164" s="10">
        <f>IFERROR((1-L163/L162),0)</f>
        <v>0.15909218400149683</v>
      </c>
      <c r="M164" s="10">
        <f>IFERROR((1-M163/M162),0)</f>
        <v>0.13894092847882855</v>
      </c>
      <c r="N164" s="10">
        <f>IFERROR((1-N163/N162),0)</f>
        <v>0.16569227114119489</v>
      </c>
      <c r="O164" s="10">
        <f>IFERROR((1-O163/O162),0)</f>
        <v>0.13733158671632284</v>
      </c>
      <c r="P164" s="10">
        <f>IFERROR((1-P163/P162),0)</f>
        <v>0.15608080213134601</v>
      </c>
      <c r="Q164" s="10">
        <f>IFERROR((1-Q163/Q162),0)</f>
        <v>0.1653265967846913</v>
      </c>
      <c r="S164" s="28"/>
      <c r="T164" s="28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x14ac:dyDescent="0.3">
      <c r="E165" s="5" t="s">
        <v>3</v>
      </c>
      <c r="F165" s="76">
        <v>134</v>
      </c>
      <c r="G165" s="8">
        <v>114</v>
      </c>
      <c r="H165" s="8">
        <v>50</v>
      </c>
      <c r="I165" s="8">
        <v>54</v>
      </c>
      <c r="J165" s="8">
        <v>75</v>
      </c>
      <c r="K165" s="8">
        <v>93</v>
      </c>
      <c r="L165" s="8">
        <v>148</v>
      </c>
      <c r="M165" s="8">
        <v>196</v>
      </c>
      <c r="N165" s="8">
        <v>184</v>
      </c>
      <c r="O165" s="8">
        <v>200</v>
      </c>
      <c r="P165" s="8">
        <v>168</v>
      </c>
      <c r="Q165" s="8">
        <v>123</v>
      </c>
    </row>
    <row r="166" spans="1:107" x14ac:dyDescent="0.3">
      <c r="E166" s="5" t="s">
        <v>2</v>
      </c>
      <c r="F166" s="75">
        <v>258.00842105263132</v>
      </c>
      <c r="G166" s="24">
        <v>136.76560595802295</v>
      </c>
      <c r="H166" s="24">
        <f>IFERROR(H162/H151,0)</f>
        <v>293.29668122270812</v>
      </c>
      <c r="I166" s="24">
        <f>IFERROR(I162/I151,0)</f>
        <v>301.80441842900404</v>
      </c>
      <c r="J166" s="24">
        <f>IFERROR(J162/J151,0)</f>
        <v>307.51253058104032</v>
      </c>
      <c r="K166" s="24">
        <f>IFERROR(K162/K151,0)</f>
        <v>313.44494728915754</v>
      </c>
      <c r="L166" s="24">
        <f>IFERROR(L162/L151,0)</f>
        <v>328.42401988636414</v>
      </c>
      <c r="M166" s="24">
        <f>IFERROR(M162/M151,0)</f>
        <v>339.51949408672891</v>
      </c>
      <c r="N166" s="24">
        <f>IFERROR(N162/N151,0)</f>
        <v>346.64284577723453</v>
      </c>
      <c r="O166" s="24">
        <f>IFERROR(O162/O151,0)</f>
        <v>346.32706182643238</v>
      </c>
      <c r="P166" s="24">
        <f>IFERROR(P162/P151,0)</f>
        <v>348.40904021447722</v>
      </c>
      <c r="Q166" s="24">
        <f>IFERROR(Q162/Q151,0)</f>
        <v>352.21379905808499</v>
      </c>
    </row>
    <row r="167" spans="1:107" x14ac:dyDescent="0.3">
      <c r="E167" s="5" t="s">
        <v>1</v>
      </c>
      <c r="F167" s="56">
        <v>0</v>
      </c>
      <c r="G167" s="56">
        <v>0</v>
      </c>
      <c r="H167" s="56">
        <v>0</v>
      </c>
      <c r="I167" s="56">
        <v>0</v>
      </c>
      <c r="J167" s="56">
        <v>0</v>
      </c>
      <c r="K167" s="56">
        <v>0</v>
      </c>
      <c r="L167" s="56">
        <v>0</v>
      </c>
      <c r="M167" s="56">
        <v>0</v>
      </c>
      <c r="N167" s="56">
        <v>0</v>
      </c>
      <c r="O167" s="56">
        <v>0</v>
      </c>
      <c r="P167" s="56">
        <v>0</v>
      </c>
      <c r="Q167" s="56">
        <v>0</v>
      </c>
    </row>
    <row r="168" spans="1:107" x14ac:dyDescent="0.3">
      <c r="E168" s="5" t="s">
        <v>0</v>
      </c>
      <c r="F168" s="56">
        <v>0</v>
      </c>
      <c r="G168" s="56">
        <v>0</v>
      </c>
      <c r="H168" s="56">
        <v>0</v>
      </c>
      <c r="I168" s="56">
        <v>0</v>
      </c>
      <c r="J168" s="56">
        <v>0</v>
      </c>
      <c r="K168" s="56">
        <v>0</v>
      </c>
      <c r="L168" s="56">
        <v>0</v>
      </c>
      <c r="M168" s="56">
        <v>0</v>
      </c>
      <c r="N168" s="56">
        <v>0</v>
      </c>
      <c r="O168" s="56">
        <v>0</v>
      </c>
      <c r="P168" s="56">
        <v>0</v>
      </c>
      <c r="Q168" s="56">
        <v>0</v>
      </c>
    </row>
    <row r="169" spans="1:107" s="2" customFormat="1" ht="2.4" customHeight="1" x14ac:dyDescent="0.3">
      <c r="F169" s="55"/>
      <c r="G169" s="55"/>
      <c r="H169" s="55"/>
      <c r="I169" s="61"/>
      <c r="J169" s="55"/>
      <c r="K169" s="60"/>
      <c r="L169" s="29"/>
      <c r="M169" s="29"/>
      <c r="N169" s="29"/>
      <c r="O169" s="29"/>
      <c r="P169" s="29"/>
      <c r="Q169" s="29"/>
      <c r="S169" s="28"/>
      <c r="T169" s="28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s="2" customFormat="1" ht="1.2" customHeight="1" x14ac:dyDescent="0.3">
      <c r="F170" s="55"/>
      <c r="G170" s="55"/>
      <c r="H170" s="55"/>
      <c r="I170" s="61"/>
      <c r="J170" s="55"/>
      <c r="K170" s="60"/>
      <c r="L170" s="29"/>
      <c r="M170" s="29"/>
      <c r="N170" s="29"/>
      <c r="O170" s="29"/>
      <c r="P170" s="29"/>
      <c r="Q170" s="29"/>
      <c r="S170" s="28"/>
      <c r="T170" s="28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s="2" customFormat="1" x14ac:dyDescent="0.3">
      <c r="A171" s="1"/>
      <c r="B171" s="1"/>
      <c r="C171" s="1"/>
      <c r="E171" s="54" t="s">
        <v>33</v>
      </c>
      <c r="F171" s="54" t="s">
        <v>32</v>
      </c>
      <c r="G171" s="54" t="s">
        <v>31</v>
      </c>
      <c r="H171" s="54" t="s">
        <v>30</v>
      </c>
      <c r="I171" s="54" t="s">
        <v>29</v>
      </c>
      <c r="J171" s="54" t="s">
        <v>28</v>
      </c>
      <c r="K171" s="54" t="s">
        <v>27</v>
      </c>
      <c r="L171" s="54" t="s">
        <v>26</v>
      </c>
      <c r="M171" s="54" t="s">
        <v>25</v>
      </c>
      <c r="N171" s="54" t="s">
        <v>24</v>
      </c>
      <c r="O171" s="54" t="s">
        <v>23</v>
      </c>
      <c r="P171" s="54" t="s">
        <v>22</v>
      </c>
      <c r="Q171" s="54" t="s">
        <v>21</v>
      </c>
      <c r="S171" s="28"/>
      <c r="T171" s="28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x14ac:dyDescent="0.3">
      <c r="E172" s="5" t="s">
        <v>20</v>
      </c>
      <c r="F172" s="76">
        <v>0</v>
      </c>
      <c r="G172" s="8">
        <v>0</v>
      </c>
      <c r="H172" s="8">
        <v>0</v>
      </c>
      <c r="I172" s="8">
        <v>0</v>
      </c>
      <c r="J172" s="8">
        <v>0</v>
      </c>
      <c r="K172" s="8">
        <v>0</v>
      </c>
      <c r="L172" s="8">
        <v>0</v>
      </c>
      <c r="M172" s="8">
        <v>0</v>
      </c>
      <c r="N172" s="8">
        <v>0</v>
      </c>
      <c r="O172" s="8">
        <v>0</v>
      </c>
      <c r="P172" s="8">
        <v>0</v>
      </c>
      <c r="Q172" s="8">
        <v>0</v>
      </c>
    </row>
    <row r="173" spans="1:107" s="2" customFormat="1" x14ac:dyDescent="0.3">
      <c r="A173" s="1"/>
      <c r="B173" s="1"/>
      <c r="C173" s="1"/>
      <c r="E173" s="5" t="s">
        <v>19</v>
      </c>
      <c r="F173" s="76">
        <v>278</v>
      </c>
      <c r="G173" s="8">
        <f>SUM(G174:G175)</f>
        <v>289</v>
      </c>
      <c r="H173" s="8">
        <f>SUM(H174:H175)</f>
        <v>311</v>
      </c>
      <c r="I173" s="8">
        <f>SUM(I174:I175)</f>
        <v>321</v>
      </c>
      <c r="J173" s="8">
        <f>SUM(J174:J175)</f>
        <v>320</v>
      </c>
      <c r="K173" s="8">
        <f>SUM(K174:K175)</f>
        <v>325</v>
      </c>
      <c r="L173" s="8">
        <f>SUM(L174:L175)</f>
        <v>321</v>
      </c>
      <c r="M173" s="8">
        <f>SUM(M174:M175)</f>
        <v>322</v>
      </c>
      <c r="N173" s="8">
        <f>SUM(N174:N175)</f>
        <v>324</v>
      </c>
      <c r="O173" s="8">
        <f>SUM(O174:O175)</f>
        <v>317</v>
      </c>
      <c r="P173" s="8">
        <f>SUM(P174:P175)</f>
        <v>300</v>
      </c>
      <c r="Q173" s="8">
        <f>SUM(Q174:Q175)</f>
        <v>282</v>
      </c>
      <c r="S173" s="28"/>
      <c r="T173" s="28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s="2" customFormat="1" x14ac:dyDescent="0.3">
      <c r="A174" s="1"/>
      <c r="B174" s="1"/>
      <c r="C174" s="1"/>
      <c r="E174" s="14" t="s">
        <v>41</v>
      </c>
      <c r="F174" s="76">
        <v>0</v>
      </c>
      <c r="G174" s="8">
        <v>0</v>
      </c>
      <c r="H174" s="8">
        <v>0</v>
      </c>
      <c r="I174" s="8">
        <v>0</v>
      </c>
      <c r="J174" s="8">
        <v>0</v>
      </c>
      <c r="K174" s="8">
        <v>0</v>
      </c>
      <c r="L174" s="8">
        <v>0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S174" s="28"/>
      <c r="T174" s="28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s="2" customFormat="1" x14ac:dyDescent="0.3">
      <c r="A175" s="1"/>
      <c r="B175" s="1"/>
      <c r="C175" s="1"/>
      <c r="E175" s="14" t="s">
        <v>40</v>
      </c>
      <c r="F175" s="76">
        <v>278</v>
      </c>
      <c r="G175" s="8">
        <v>289</v>
      </c>
      <c r="H175" s="8">
        <v>311</v>
      </c>
      <c r="I175" s="8">
        <v>321</v>
      </c>
      <c r="J175" s="8">
        <v>320</v>
      </c>
      <c r="K175" s="8">
        <v>325</v>
      </c>
      <c r="L175" s="8">
        <v>321</v>
      </c>
      <c r="M175" s="8">
        <v>322</v>
      </c>
      <c r="N175" s="8">
        <v>324</v>
      </c>
      <c r="O175" s="8">
        <v>317</v>
      </c>
      <c r="P175" s="8">
        <v>300</v>
      </c>
      <c r="Q175" s="8">
        <v>282</v>
      </c>
      <c r="S175" s="28"/>
      <c r="T175" s="28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s="2" customFormat="1" x14ac:dyDescent="0.3">
      <c r="A176" s="1"/>
      <c r="B176" s="1"/>
      <c r="C176" s="1"/>
      <c r="E176" s="5" t="s">
        <v>39</v>
      </c>
      <c r="F176" s="76">
        <v>4</v>
      </c>
      <c r="G176" s="8">
        <f>SUM(G179:G183)</f>
        <v>5</v>
      </c>
      <c r="H176" s="8">
        <f>SUM(H179:H183)</f>
        <v>6</v>
      </c>
      <c r="I176" s="8">
        <f>SUM(I179:I183)</f>
        <v>2</v>
      </c>
      <c r="J176" s="8">
        <f>SUM(J179:J183)</f>
        <v>13</v>
      </c>
      <c r="K176" s="8">
        <f>SUM(K179:K183)</f>
        <v>7</v>
      </c>
      <c r="L176" s="8">
        <f>SUM(L179:L183)</f>
        <v>9</v>
      </c>
      <c r="M176" s="8">
        <f>SUM(M179:M183)</f>
        <v>9</v>
      </c>
      <c r="N176" s="8">
        <f>SUM(N179:N183)</f>
        <v>7</v>
      </c>
      <c r="O176" s="8">
        <f>SUM(O179:O183)</f>
        <v>9</v>
      </c>
      <c r="P176" s="8">
        <f>SUM(P179:P183)</f>
        <v>18</v>
      </c>
      <c r="Q176" s="8">
        <f>SUM(Q179:Q183)</f>
        <v>17</v>
      </c>
      <c r="S176" s="28"/>
      <c r="T176" s="28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s="2" customFormat="1" x14ac:dyDescent="0.3">
      <c r="A177" s="1"/>
      <c r="B177" s="1"/>
      <c r="C177" s="1"/>
      <c r="E177" s="5" t="s">
        <v>15</v>
      </c>
      <c r="F177" s="76">
        <v>2</v>
      </c>
      <c r="G177" s="8">
        <v>2</v>
      </c>
      <c r="H177" s="8">
        <v>8</v>
      </c>
      <c r="I177" s="8">
        <v>0</v>
      </c>
      <c r="J177" s="8">
        <v>7</v>
      </c>
      <c r="K177" s="8">
        <v>1</v>
      </c>
      <c r="L177" s="8">
        <v>8</v>
      </c>
      <c r="M177" s="8">
        <v>4</v>
      </c>
      <c r="N177" s="8">
        <v>4</v>
      </c>
      <c r="O177" s="8">
        <v>4</v>
      </c>
      <c r="P177" s="8">
        <v>10</v>
      </c>
      <c r="Q177" s="8">
        <v>22</v>
      </c>
      <c r="S177" s="28"/>
      <c r="T177" s="28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s="2" customFormat="1" x14ac:dyDescent="0.3">
      <c r="A178" s="1"/>
      <c r="B178" s="1"/>
      <c r="C178" s="1"/>
      <c r="E178" s="5" t="s">
        <v>14</v>
      </c>
      <c r="F178" s="10">
        <v>0</v>
      </c>
      <c r="G178" s="10">
        <v>0</v>
      </c>
      <c r="H178" s="10">
        <f>IFERROR(H176/G173,0)</f>
        <v>2.0761245674740483E-2</v>
      </c>
      <c r="I178" s="10">
        <f>IFERROR(I176/H173,0)</f>
        <v>6.4308681672025723E-3</v>
      </c>
      <c r="J178" s="10">
        <f>IFERROR(J176/I173,0)</f>
        <v>4.0498442367601244E-2</v>
      </c>
      <c r="K178" s="10">
        <f>IFERROR(K176/J173,0)</f>
        <v>2.1874999999999999E-2</v>
      </c>
      <c r="L178" s="10">
        <f>IFERROR(L176/K173,0)</f>
        <v>2.7692307692307693E-2</v>
      </c>
      <c r="M178" s="10">
        <f>IFERROR(M176/L173,0)</f>
        <v>2.8037383177570093E-2</v>
      </c>
      <c r="N178" s="10">
        <f>IFERROR(N176/M173,0)</f>
        <v>2.1739130434782608E-2</v>
      </c>
      <c r="O178" s="10">
        <f>IFERROR(O176/N173,0)</f>
        <v>2.7777777777777776E-2</v>
      </c>
      <c r="P178" s="10">
        <f>IFERROR(P176/O173,0)</f>
        <v>5.6782334384858045E-2</v>
      </c>
      <c r="Q178" s="10">
        <f>IFERROR(Q176/P173,0)</f>
        <v>5.6666666666666664E-2</v>
      </c>
      <c r="S178" s="28"/>
      <c r="T178" s="28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s="2" customFormat="1" x14ac:dyDescent="0.3">
      <c r="A179" s="1"/>
      <c r="B179" s="1"/>
      <c r="C179" s="1"/>
      <c r="E179" s="5" t="s">
        <v>13</v>
      </c>
      <c r="F179" s="76">
        <v>0</v>
      </c>
      <c r="G179" s="8">
        <v>0</v>
      </c>
      <c r="H179" s="8">
        <v>0</v>
      </c>
      <c r="I179" s="8">
        <v>0</v>
      </c>
      <c r="J179" s="8">
        <v>3</v>
      </c>
      <c r="K179" s="8">
        <v>2</v>
      </c>
      <c r="L179" s="8">
        <v>2</v>
      </c>
      <c r="M179" s="8">
        <v>2</v>
      </c>
      <c r="N179" s="8">
        <v>0</v>
      </c>
      <c r="O179" s="8">
        <v>2</v>
      </c>
      <c r="P179" s="8">
        <v>0</v>
      </c>
      <c r="Q179" s="8">
        <v>0</v>
      </c>
      <c r="S179" s="28"/>
      <c r="T179" s="28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s="2" customFormat="1" x14ac:dyDescent="0.3">
      <c r="A180" s="1"/>
      <c r="B180" s="1"/>
      <c r="C180" s="1"/>
      <c r="E180" s="5" t="s">
        <v>12</v>
      </c>
      <c r="F180" s="76">
        <v>4</v>
      </c>
      <c r="G180" s="8">
        <v>0</v>
      </c>
      <c r="H180" s="8">
        <v>0</v>
      </c>
      <c r="I180" s="8">
        <v>0</v>
      </c>
      <c r="J180" s="8">
        <v>7</v>
      </c>
      <c r="K180" s="8">
        <v>4</v>
      </c>
      <c r="L180" s="8">
        <v>7</v>
      </c>
      <c r="M180" s="8">
        <v>7</v>
      </c>
      <c r="N180" s="8">
        <v>6</v>
      </c>
      <c r="O180" s="8">
        <v>7</v>
      </c>
      <c r="P180" s="8">
        <v>16</v>
      </c>
      <c r="Q180" s="8">
        <v>16</v>
      </c>
      <c r="S180" s="28"/>
      <c r="T180" s="28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s="2" customFormat="1" x14ac:dyDescent="0.3">
      <c r="A181" s="1"/>
      <c r="B181" s="1"/>
      <c r="C181" s="1"/>
      <c r="E181" s="5" t="s">
        <v>11</v>
      </c>
      <c r="F181" s="76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S181" s="28"/>
      <c r="T181" s="28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s="2" customFormat="1" x14ac:dyDescent="0.3">
      <c r="A182" s="1"/>
      <c r="B182" s="1"/>
      <c r="C182" s="1"/>
      <c r="E182" s="5" t="s">
        <v>50</v>
      </c>
      <c r="F182" s="78">
        <v>0</v>
      </c>
      <c r="G182" s="42">
        <v>0</v>
      </c>
      <c r="H182" s="42">
        <v>0</v>
      </c>
      <c r="I182" s="42">
        <v>0</v>
      </c>
      <c r="J182" s="42">
        <v>1</v>
      </c>
      <c r="K182" s="42">
        <v>0</v>
      </c>
      <c r="L182" s="42">
        <v>0</v>
      </c>
      <c r="M182" s="42">
        <v>0</v>
      </c>
      <c r="N182" s="42">
        <v>0</v>
      </c>
      <c r="O182" s="42">
        <v>0</v>
      </c>
      <c r="P182" s="42">
        <v>0</v>
      </c>
      <c r="Q182" s="42">
        <v>0</v>
      </c>
      <c r="S182" s="28"/>
      <c r="T182" s="28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s="2" customFormat="1" x14ac:dyDescent="0.3">
      <c r="A183" s="1"/>
      <c r="B183" s="1"/>
      <c r="C183" s="1"/>
      <c r="E183" s="5" t="s">
        <v>46</v>
      </c>
      <c r="F183" s="78">
        <v>0</v>
      </c>
      <c r="G183" s="42">
        <v>5</v>
      </c>
      <c r="H183" s="42">
        <v>6</v>
      </c>
      <c r="I183" s="42">
        <v>2</v>
      </c>
      <c r="J183" s="42">
        <v>2</v>
      </c>
      <c r="K183" s="42">
        <v>1</v>
      </c>
      <c r="L183" s="42">
        <v>0</v>
      </c>
      <c r="M183" s="42">
        <v>0</v>
      </c>
      <c r="N183" s="42">
        <v>1</v>
      </c>
      <c r="O183" s="42">
        <v>0</v>
      </c>
      <c r="P183" s="42">
        <v>2</v>
      </c>
      <c r="Q183" s="42">
        <v>1</v>
      </c>
      <c r="S183" s="28"/>
      <c r="T183" s="28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s="2" customFormat="1" x14ac:dyDescent="0.3">
      <c r="A184" s="1"/>
      <c r="B184" s="1"/>
      <c r="C184" s="1"/>
      <c r="E184" s="5" t="s">
        <v>6</v>
      </c>
      <c r="F184" s="23">
        <v>247227.48000000004</v>
      </c>
      <c r="G184" s="23">
        <v>264849.06000000011</v>
      </c>
      <c r="H184" s="23">
        <v>279802.05000000016</v>
      </c>
      <c r="I184" s="23">
        <v>286294.18000000005</v>
      </c>
      <c r="J184" s="23">
        <v>293244.37999999995</v>
      </c>
      <c r="K184" s="23">
        <v>292614.14000000007</v>
      </c>
      <c r="L184" s="23">
        <v>338510.35000000003</v>
      </c>
      <c r="M184" s="23">
        <v>341948.84999999986</v>
      </c>
      <c r="N184" s="23">
        <v>335618.61000000016</v>
      </c>
      <c r="O184" s="23">
        <v>331037.69999999966</v>
      </c>
      <c r="P184" s="23">
        <v>327777.18999999983</v>
      </c>
      <c r="Q184" s="23">
        <v>315487.63999999984</v>
      </c>
      <c r="S184" s="28"/>
      <c r="T184" s="28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s="2" customFormat="1" x14ac:dyDescent="0.3">
      <c r="A185" s="1"/>
      <c r="B185" s="1"/>
      <c r="C185" s="1"/>
      <c r="E185" s="5" t="s">
        <v>5</v>
      </c>
      <c r="F185" s="23">
        <v>246630.36000000004</v>
      </c>
      <c r="G185" s="23">
        <v>262143.20000000013</v>
      </c>
      <c r="H185" s="23">
        <v>279109.84000000014</v>
      </c>
      <c r="I185" s="23">
        <v>282735.60000000003</v>
      </c>
      <c r="J185" s="23">
        <v>289219.34999999992</v>
      </c>
      <c r="K185" s="23">
        <v>289444.9200000001</v>
      </c>
      <c r="L185" s="23">
        <v>332794.01</v>
      </c>
      <c r="M185" s="23">
        <v>338338.62999999989</v>
      </c>
      <c r="N185" s="23">
        <v>332846.28000000014</v>
      </c>
      <c r="O185" s="23">
        <v>330491.94999999966</v>
      </c>
      <c r="P185" s="23">
        <v>323952.31999999983</v>
      </c>
      <c r="Q185" s="23">
        <v>308681.39999999985</v>
      </c>
      <c r="S185" s="28"/>
      <c r="T185" s="28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s="2" customFormat="1" x14ac:dyDescent="0.3">
      <c r="A186" s="1"/>
      <c r="B186" s="1"/>
      <c r="C186" s="1"/>
      <c r="E186" s="5" t="s">
        <v>49</v>
      </c>
      <c r="F186" s="10">
        <v>2.4152654874773916E-3</v>
      </c>
      <c r="G186" s="10">
        <v>1</v>
      </c>
      <c r="H186" s="10">
        <f>IFERROR((1-H185/H184),0)</f>
        <v>2.4739275498518731E-3</v>
      </c>
      <c r="I186" s="10">
        <f>IFERROR((1-I185/I184),0)</f>
        <v>1.2429802100762277E-2</v>
      </c>
      <c r="J186" s="10">
        <f>IFERROR((1-J185/J184),0)</f>
        <v>1.3725855547513044E-2</v>
      </c>
      <c r="K186" s="10">
        <f>IFERROR((1-K185/K184),0)</f>
        <v>1.08307137857383E-2</v>
      </c>
      <c r="L186" s="10">
        <f>IFERROR((1-L185/L184),0)</f>
        <v>1.6886751025485758E-2</v>
      </c>
      <c r="M186" s="10">
        <f>IFERROR((1-M185/M184),0)</f>
        <v>1.055777786648493E-2</v>
      </c>
      <c r="N186" s="10">
        <f>IFERROR((1-N185/N184),0)</f>
        <v>8.2603583871586617E-3</v>
      </c>
      <c r="O186" s="10">
        <f>IFERROR((1-O185/O184),0)</f>
        <v>1.6486037692987621E-3</v>
      </c>
      <c r="P186" s="10">
        <f>IFERROR((1-P185/P184),0)</f>
        <v>1.1669115840550082E-2</v>
      </c>
      <c r="Q186" s="10">
        <f>IFERROR((1-Q185/Q184),0)</f>
        <v>2.157371363264815E-2</v>
      </c>
      <c r="S186" s="28"/>
      <c r="T186" s="28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x14ac:dyDescent="0.3">
      <c r="E187" s="5" t="s">
        <v>3</v>
      </c>
      <c r="F187" s="76">
        <v>8</v>
      </c>
      <c r="G187" s="8">
        <v>14</v>
      </c>
      <c r="H187" s="8">
        <v>26</v>
      </c>
      <c r="I187" s="8">
        <v>10</v>
      </c>
      <c r="J187" s="8">
        <v>12</v>
      </c>
      <c r="K187" s="8">
        <v>8</v>
      </c>
      <c r="L187" s="8">
        <v>4</v>
      </c>
      <c r="M187" s="8">
        <v>11</v>
      </c>
      <c r="N187" s="8">
        <v>8</v>
      </c>
      <c r="O187" s="8">
        <v>2</v>
      </c>
      <c r="P187" s="8">
        <v>0</v>
      </c>
      <c r="Q187" s="8">
        <v>1</v>
      </c>
    </row>
    <row r="188" spans="1:107" x14ac:dyDescent="0.3">
      <c r="E188" s="5" t="s">
        <v>2</v>
      </c>
      <c r="F188" s="75">
        <v>889.3074820143886</v>
      </c>
      <c r="G188" s="24">
        <v>839.40907849829387</v>
      </c>
      <c r="H188" s="24">
        <f>IFERROR(H184/H173,0)</f>
        <v>899.68504823151181</v>
      </c>
      <c r="I188" s="24">
        <f>IFERROR(I184/I173,0)</f>
        <v>891.88218068535843</v>
      </c>
      <c r="J188" s="24">
        <f>IFERROR(J184/J173,0)</f>
        <v>916.38868749999983</v>
      </c>
      <c r="K188" s="24">
        <f>IFERROR(K184/K173,0)</f>
        <v>900.35120000000018</v>
      </c>
      <c r="L188" s="24">
        <f>IFERROR(L184/L173,0)</f>
        <v>1054.5493769470406</v>
      </c>
      <c r="M188" s="24">
        <f>IFERROR(M184/M173,0)</f>
        <v>1061.9529503105587</v>
      </c>
      <c r="N188" s="24">
        <f>IFERROR(N184/N173,0)</f>
        <v>1035.8599074074079</v>
      </c>
      <c r="O188" s="24">
        <f>IFERROR(O184/O173,0)</f>
        <v>1044.2829652996834</v>
      </c>
      <c r="P188" s="24">
        <f>IFERROR(P184/P173,0)</f>
        <v>1092.5906333333328</v>
      </c>
      <c r="Q188" s="24">
        <f>IFERROR(Q184/Q173,0)</f>
        <v>1118.7504964539</v>
      </c>
    </row>
    <row r="189" spans="1:107" x14ac:dyDescent="0.3">
      <c r="E189" s="5" t="s">
        <v>1</v>
      </c>
      <c r="F189" s="56">
        <v>0</v>
      </c>
      <c r="G189" s="56">
        <v>0</v>
      </c>
      <c r="H189" s="56">
        <v>0</v>
      </c>
      <c r="I189" s="56">
        <v>0</v>
      </c>
      <c r="J189" s="56">
        <v>0</v>
      </c>
      <c r="K189" s="56">
        <v>0</v>
      </c>
      <c r="L189" s="56">
        <v>0</v>
      </c>
      <c r="M189" s="56">
        <v>0</v>
      </c>
      <c r="N189" s="56">
        <v>0</v>
      </c>
      <c r="O189" s="56">
        <v>0</v>
      </c>
      <c r="P189" s="56">
        <v>0</v>
      </c>
      <c r="Q189" s="56">
        <v>0</v>
      </c>
    </row>
    <row r="190" spans="1:107" x14ac:dyDescent="0.3">
      <c r="E190" s="5" t="s">
        <v>0</v>
      </c>
      <c r="F190" s="56">
        <v>0</v>
      </c>
      <c r="G190" s="56">
        <v>0</v>
      </c>
      <c r="H190" s="56">
        <v>0</v>
      </c>
      <c r="I190" s="56">
        <v>0</v>
      </c>
      <c r="J190" s="56">
        <v>0</v>
      </c>
      <c r="K190" s="56">
        <v>0</v>
      </c>
      <c r="L190" s="56">
        <v>0</v>
      </c>
      <c r="M190" s="56">
        <v>0</v>
      </c>
      <c r="N190" s="56">
        <v>0</v>
      </c>
      <c r="O190" s="56">
        <v>0</v>
      </c>
      <c r="P190" s="56">
        <v>0</v>
      </c>
      <c r="Q190" s="56">
        <v>0</v>
      </c>
    </row>
    <row r="191" spans="1:107" s="2" customFormat="1" ht="6" customHeight="1" x14ac:dyDescent="0.3">
      <c r="F191" s="55"/>
      <c r="G191" s="55"/>
      <c r="H191" s="55"/>
      <c r="I191" s="61"/>
      <c r="J191" s="55"/>
      <c r="K191" s="60"/>
      <c r="L191" s="29"/>
      <c r="M191" s="29"/>
      <c r="N191" s="29"/>
      <c r="O191" s="29"/>
      <c r="P191" s="29"/>
      <c r="Q191" s="29"/>
      <c r="S191" s="28"/>
      <c r="T191" s="28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s="2" customFormat="1" x14ac:dyDescent="0.3">
      <c r="A192" s="1"/>
      <c r="B192" s="1"/>
      <c r="C192" s="1"/>
      <c r="E192" s="54" t="s">
        <v>33</v>
      </c>
      <c r="F192" s="54" t="s">
        <v>32</v>
      </c>
      <c r="G192" s="54" t="s">
        <v>31</v>
      </c>
      <c r="H192" s="54" t="s">
        <v>30</v>
      </c>
      <c r="I192" s="54" t="s">
        <v>29</v>
      </c>
      <c r="J192" s="54" t="s">
        <v>28</v>
      </c>
      <c r="K192" s="54" t="s">
        <v>27</v>
      </c>
      <c r="L192" s="54" t="s">
        <v>26</v>
      </c>
      <c r="M192" s="54" t="s">
        <v>25</v>
      </c>
      <c r="N192" s="54" t="s">
        <v>24</v>
      </c>
      <c r="O192" s="54" t="s">
        <v>23</v>
      </c>
      <c r="P192" s="54" t="s">
        <v>22</v>
      </c>
      <c r="Q192" s="54" t="s">
        <v>21</v>
      </c>
      <c r="S192" s="28"/>
      <c r="T192" s="28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x14ac:dyDescent="0.3">
      <c r="E193" s="5" t="s">
        <v>20</v>
      </c>
      <c r="F193" s="76">
        <v>0</v>
      </c>
      <c r="G193" s="8">
        <v>0</v>
      </c>
      <c r="H193" s="8">
        <v>0</v>
      </c>
      <c r="I193" s="8">
        <v>0</v>
      </c>
      <c r="J193" s="8">
        <v>0</v>
      </c>
      <c r="K193" s="8">
        <v>0</v>
      </c>
      <c r="L193" s="8">
        <v>0</v>
      </c>
      <c r="M193" s="8">
        <v>0</v>
      </c>
      <c r="N193" s="8">
        <v>0</v>
      </c>
      <c r="O193" s="8">
        <v>0</v>
      </c>
      <c r="P193" s="8">
        <v>0</v>
      </c>
      <c r="Q193" s="8">
        <v>0</v>
      </c>
    </row>
    <row r="194" spans="1:107" s="2" customFormat="1" x14ac:dyDescent="0.3">
      <c r="A194" s="1"/>
      <c r="B194" s="1"/>
      <c r="C194" s="1"/>
      <c r="E194" s="5" t="s">
        <v>19</v>
      </c>
      <c r="F194" s="76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8">
        <f>SUM(N195:N196)</f>
        <v>3</v>
      </c>
      <c r="O194" s="8">
        <f>SUM(O195:O196)</f>
        <v>6</v>
      </c>
      <c r="P194" s="8">
        <f>SUM(P195:P196)</f>
        <v>10</v>
      </c>
      <c r="Q194" s="8">
        <f>SUM(Q195:Q196)</f>
        <v>10</v>
      </c>
      <c r="S194" s="28"/>
      <c r="T194" s="28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s="2" customFormat="1" x14ac:dyDescent="0.3">
      <c r="A195" s="1"/>
      <c r="B195" s="1"/>
      <c r="C195" s="1"/>
      <c r="E195" s="14" t="s">
        <v>41</v>
      </c>
      <c r="F195" s="76">
        <v>0</v>
      </c>
      <c r="G195" s="8">
        <v>0</v>
      </c>
      <c r="H195" s="8">
        <v>0</v>
      </c>
      <c r="I195" s="8">
        <v>0</v>
      </c>
      <c r="J195" s="8">
        <v>0</v>
      </c>
      <c r="K195" s="8">
        <v>0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S195" s="28"/>
      <c r="T195" s="28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s="2" customFormat="1" x14ac:dyDescent="0.3">
      <c r="A196" s="1"/>
      <c r="B196" s="1"/>
      <c r="C196" s="1"/>
      <c r="E196" s="14" t="s">
        <v>40</v>
      </c>
      <c r="F196" s="76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3</v>
      </c>
      <c r="O196" s="8">
        <v>6</v>
      </c>
      <c r="P196" s="8">
        <v>10</v>
      </c>
      <c r="Q196" s="8">
        <v>10</v>
      </c>
      <c r="S196" s="28"/>
      <c r="T196" s="28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s="2" customFormat="1" x14ac:dyDescent="0.3">
      <c r="A197" s="1"/>
      <c r="B197" s="1"/>
      <c r="C197" s="1"/>
      <c r="E197" s="5" t="s">
        <v>39</v>
      </c>
      <c r="F197" s="76">
        <v>0</v>
      </c>
      <c r="G197" s="8">
        <v>0</v>
      </c>
      <c r="H197" s="8">
        <v>0</v>
      </c>
      <c r="I197" s="8">
        <v>0</v>
      </c>
      <c r="J197" s="8">
        <v>0</v>
      </c>
      <c r="K197" s="8">
        <v>0</v>
      </c>
      <c r="L197" s="8">
        <v>0</v>
      </c>
      <c r="M197" s="8">
        <v>0</v>
      </c>
      <c r="N197" s="8">
        <f>SUM(N200:N204)</f>
        <v>0</v>
      </c>
      <c r="O197" s="8">
        <f>SUM(O200:O204)</f>
        <v>0</v>
      </c>
      <c r="P197" s="8">
        <f>SUM(P200:P204)</f>
        <v>0</v>
      </c>
      <c r="Q197" s="8">
        <f>SUM(Q200:Q204)</f>
        <v>0</v>
      </c>
      <c r="S197" s="28"/>
      <c r="T197" s="28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s="2" customFormat="1" x14ac:dyDescent="0.3">
      <c r="A198" s="1"/>
      <c r="B198" s="1"/>
      <c r="C198" s="1"/>
      <c r="E198" s="5" t="s">
        <v>15</v>
      </c>
      <c r="F198" s="76">
        <v>0</v>
      </c>
      <c r="G198" s="8">
        <v>0</v>
      </c>
      <c r="H198" s="8">
        <v>0</v>
      </c>
      <c r="I198" s="8">
        <v>0</v>
      </c>
      <c r="J198" s="8">
        <v>0</v>
      </c>
      <c r="K198" s="8">
        <v>0</v>
      </c>
      <c r="L198" s="8">
        <v>0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S198" s="28"/>
      <c r="T198" s="28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s="2" customFormat="1" x14ac:dyDescent="0.3">
      <c r="A199" s="1"/>
      <c r="B199" s="1"/>
      <c r="C199" s="1"/>
      <c r="E199" s="5" t="s">
        <v>14</v>
      </c>
      <c r="F199" s="76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8">
        <v>0</v>
      </c>
      <c r="M199" s="8">
        <v>0</v>
      </c>
      <c r="N199" s="10">
        <f>IFERROR(N197/M194,0)</f>
        <v>0</v>
      </c>
      <c r="O199" s="10">
        <f>IFERROR(O197/N194,0)</f>
        <v>0</v>
      </c>
      <c r="P199" s="10">
        <f>IFERROR(P197/O194,0)</f>
        <v>0</v>
      </c>
      <c r="Q199" s="10">
        <f>IFERROR(Q197/P194,0)</f>
        <v>0</v>
      </c>
      <c r="S199" s="28"/>
      <c r="T199" s="28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s="2" customFormat="1" x14ac:dyDescent="0.3">
      <c r="A200" s="1"/>
      <c r="B200" s="1"/>
      <c r="C200" s="1"/>
      <c r="E200" s="5" t="s">
        <v>13</v>
      </c>
      <c r="F200" s="76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0</v>
      </c>
      <c r="M200" s="8">
        <v>0</v>
      </c>
      <c r="N200" s="8">
        <v>0</v>
      </c>
      <c r="O200" s="8">
        <v>0</v>
      </c>
      <c r="P200" s="8">
        <v>0</v>
      </c>
      <c r="Q200" s="8">
        <v>0</v>
      </c>
      <c r="S200" s="28"/>
      <c r="T200" s="28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s="2" customFormat="1" x14ac:dyDescent="0.3">
      <c r="A201" s="1"/>
      <c r="B201" s="1"/>
      <c r="C201" s="1"/>
      <c r="E201" s="5" t="s">
        <v>12</v>
      </c>
      <c r="F201" s="76">
        <v>0</v>
      </c>
      <c r="G201" s="8">
        <v>0</v>
      </c>
      <c r="H201" s="8">
        <v>0</v>
      </c>
      <c r="I201" s="8">
        <v>0</v>
      </c>
      <c r="J201" s="8">
        <v>0</v>
      </c>
      <c r="K201" s="8">
        <v>0</v>
      </c>
      <c r="L201" s="8">
        <v>0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S201" s="28"/>
      <c r="T201" s="28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s="2" customFormat="1" x14ac:dyDescent="0.3">
      <c r="A202" s="1"/>
      <c r="B202" s="1"/>
      <c r="C202" s="1"/>
      <c r="E202" s="5" t="s">
        <v>11</v>
      </c>
      <c r="F202" s="76">
        <v>0</v>
      </c>
      <c r="G202" s="8">
        <v>0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S202" s="28"/>
      <c r="T202" s="28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s="2" customFormat="1" x14ac:dyDescent="0.3">
      <c r="A203" s="1"/>
      <c r="B203" s="1"/>
      <c r="C203" s="1"/>
      <c r="E203" s="5" t="s">
        <v>50</v>
      </c>
      <c r="F203" s="76">
        <v>0</v>
      </c>
      <c r="G203" s="8">
        <v>0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42">
        <v>0</v>
      </c>
      <c r="O203" s="42">
        <v>0</v>
      </c>
      <c r="P203" s="42">
        <v>0</v>
      </c>
      <c r="Q203" s="42">
        <v>0</v>
      </c>
      <c r="S203" s="28"/>
      <c r="T203" s="28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s="2" customFormat="1" x14ac:dyDescent="0.3">
      <c r="A204" s="1"/>
      <c r="B204" s="1"/>
      <c r="C204" s="1"/>
      <c r="E204" s="5" t="s">
        <v>46</v>
      </c>
      <c r="F204" s="76">
        <v>0</v>
      </c>
      <c r="G204" s="8">
        <v>0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42">
        <v>0</v>
      </c>
      <c r="O204" s="42">
        <v>0</v>
      </c>
      <c r="P204" s="42">
        <v>0</v>
      </c>
      <c r="Q204" s="42">
        <v>0</v>
      </c>
      <c r="S204" s="28"/>
      <c r="T204" s="28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s="2" customFormat="1" x14ac:dyDescent="0.3">
      <c r="A205" s="1"/>
      <c r="B205" s="1"/>
      <c r="C205" s="1"/>
      <c r="E205" s="5" t="s">
        <v>6</v>
      </c>
      <c r="F205" s="76">
        <v>0</v>
      </c>
      <c r="G205" s="8">
        <v>0</v>
      </c>
      <c r="H205" s="8">
        <v>0</v>
      </c>
      <c r="I205" s="8">
        <v>0</v>
      </c>
      <c r="J205" s="8">
        <v>0</v>
      </c>
      <c r="K205" s="8">
        <v>0</v>
      </c>
      <c r="L205" s="8">
        <v>0</v>
      </c>
      <c r="M205" s="8">
        <v>0</v>
      </c>
      <c r="N205" s="23">
        <v>3653</v>
      </c>
      <c r="O205" s="23">
        <v>4836.8500000000004</v>
      </c>
      <c r="P205" s="23">
        <v>8991.39</v>
      </c>
      <c r="Q205" s="23">
        <v>8991.39</v>
      </c>
      <c r="S205" s="28"/>
      <c r="T205" s="28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s="2" customFormat="1" x14ac:dyDescent="0.3">
      <c r="A206" s="1"/>
      <c r="B206" s="1"/>
      <c r="C206" s="1"/>
      <c r="E206" s="5" t="s">
        <v>5</v>
      </c>
      <c r="F206" s="76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23">
        <v>3653</v>
      </c>
      <c r="O206" s="23">
        <v>4836.8500000000004</v>
      </c>
      <c r="P206" s="23">
        <v>8991.39</v>
      </c>
      <c r="Q206" s="23">
        <v>8991.39</v>
      </c>
      <c r="S206" s="28"/>
      <c r="T206" s="28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s="2" customFormat="1" x14ac:dyDescent="0.3">
      <c r="A207" s="1"/>
      <c r="B207" s="1"/>
      <c r="C207" s="1"/>
      <c r="E207" s="5" t="s">
        <v>49</v>
      </c>
      <c r="F207" s="76">
        <v>0</v>
      </c>
      <c r="G207" s="8">
        <v>0</v>
      </c>
      <c r="H207" s="8">
        <v>0</v>
      </c>
      <c r="I207" s="8">
        <v>0</v>
      </c>
      <c r="J207" s="8">
        <v>0</v>
      </c>
      <c r="K207" s="8">
        <v>0</v>
      </c>
      <c r="L207" s="8">
        <v>0</v>
      </c>
      <c r="M207" s="8">
        <v>0</v>
      </c>
      <c r="N207" s="10">
        <f>IFERROR((1-N206/N205),0)</f>
        <v>0</v>
      </c>
      <c r="O207" s="10">
        <f>IFERROR((1-O206/O205),0)</f>
        <v>0</v>
      </c>
      <c r="P207" s="10">
        <f>IFERROR((1-P206/P205),0)</f>
        <v>0</v>
      </c>
      <c r="Q207" s="10">
        <f>IFERROR((1-Q206/Q205),0)</f>
        <v>0</v>
      </c>
      <c r="S207" s="28"/>
      <c r="T207" s="28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x14ac:dyDescent="0.3">
      <c r="E208" s="5" t="s">
        <v>3</v>
      </c>
      <c r="F208" s="76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0</v>
      </c>
      <c r="M208" s="8">
        <v>0</v>
      </c>
      <c r="N208" s="8">
        <v>3</v>
      </c>
      <c r="O208" s="8">
        <v>3</v>
      </c>
      <c r="P208" s="8">
        <v>4</v>
      </c>
      <c r="Q208" s="8">
        <v>0</v>
      </c>
    </row>
    <row r="209" spans="1:107" x14ac:dyDescent="0.3">
      <c r="E209" s="5" t="s">
        <v>2</v>
      </c>
      <c r="F209" s="76">
        <v>0</v>
      </c>
      <c r="G209" s="8">
        <v>0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24">
        <f>IFERROR(N205/N194,0)</f>
        <v>1217.6666666666667</v>
      </c>
      <c r="O209" s="24">
        <f>IFERROR(O205/O194,0)</f>
        <v>806.14166666666677</v>
      </c>
      <c r="P209" s="24">
        <f>IFERROR(P205/P194,0)</f>
        <v>899.1389999999999</v>
      </c>
      <c r="Q209" s="24">
        <f>IFERROR(Q205/Q194,0)</f>
        <v>899.1389999999999</v>
      </c>
    </row>
    <row r="210" spans="1:107" x14ac:dyDescent="0.3">
      <c r="E210" s="5" t="s">
        <v>1</v>
      </c>
      <c r="F210" s="76">
        <v>0</v>
      </c>
      <c r="G210" s="8">
        <v>0</v>
      </c>
      <c r="H210" s="8">
        <v>0</v>
      </c>
      <c r="I210" s="8">
        <v>0</v>
      </c>
      <c r="J210" s="8">
        <v>0</v>
      </c>
      <c r="K210" s="8">
        <v>0</v>
      </c>
      <c r="L210" s="8">
        <v>0</v>
      </c>
      <c r="M210" s="8">
        <v>0</v>
      </c>
      <c r="N210" s="56">
        <v>0</v>
      </c>
      <c r="O210" s="56">
        <v>0</v>
      </c>
      <c r="P210" s="56">
        <v>0</v>
      </c>
      <c r="Q210" s="56">
        <v>0</v>
      </c>
    </row>
    <row r="211" spans="1:107" x14ac:dyDescent="0.3">
      <c r="E211" s="5" t="s">
        <v>0</v>
      </c>
      <c r="F211" s="76">
        <v>0</v>
      </c>
      <c r="G211" s="8">
        <v>0</v>
      </c>
      <c r="H211" s="8">
        <v>0</v>
      </c>
      <c r="I211" s="8">
        <v>0</v>
      </c>
      <c r="J211" s="8">
        <v>0</v>
      </c>
      <c r="K211" s="8">
        <v>0</v>
      </c>
      <c r="L211" s="8">
        <v>0</v>
      </c>
      <c r="M211" s="8">
        <v>0</v>
      </c>
      <c r="N211" s="56">
        <v>0</v>
      </c>
      <c r="O211" s="56">
        <v>0</v>
      </c>
      <c r="P211" s="56">
        <v>0</v>
      </c>
      <c r="Q211" s="56">
        <v>0</v>
      </c>
    </row>
    <row r="212" spans="1:107" s="2" customFormat="1" ht="3" customHeight="1" x14ac:dyDescent="0.3">
      <c r="F212" s="55"/>
      <c r="G212" s="55"/>
      <c r="H212" s="55"/>
      <c r="I212" s="61"/>
      <c r="J212" s="55"/>
      <c r="K212" s="60"/>
      <c r="L212" s="29"/>
      <c r="M212" s="29"/>
      <c r="N212" s="29"/>
      <c r="O212" s="29"/>
      <c r="P212" s="29"/>
      <c r="Q212" s="29"/>
      <c r="S212" s="28"/>
      <c r="T212" s="28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s="2" customFormat="1" x14ac:dyDescent="0.3">
      <c r="A213" s="77"/>
      <c r="B213" s="77"/>
      <c r="C213" s="77"/>
      <c r="E213" s="54" t="s">
        <v>33</v>
      </c>
      <c r="F213" s="54" t="s">
        <v>32</v>
      </c>
      <c r="G213" s="54" t="s">
        <v>31</v>
      </c>
      <c r="H213" s="54" t="s">
        <v>30</v>
      </c>
      <c r="I213" s="54" t="s">
        <v>29</v>
      </c>
      <c r="J213" s="54" t="s">
        <v>28</v>
      </c>
      <c r="K213" s="54" t="s">
        <v>27</v>
      </c>
      <c r="L213" s="54" t="s">
        <v>26</v>
      </c>
      <c r="M213" s="54" t="s">
        <v>25</v>
      </c>
      <c r="N213" s="54" t="s">
        <v>24</v>
      </c>
      <c r="O213" s="54" t="s">
        <v>23</v>
      </c>
      <c r="P213" s="54" t="s">
        <v>22</v>
      </c>
      <c r="Q213" s="54" t="s">
        <v>21</v>
      </c>
      <c r="S213" s="28"/>
      <c r="T213" s="28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x14ac:dyDescent="0.3">
      <c r="A214" s="77"/>
      <c r="B214" s="77"/>
      <c r="C214" s="77"/>
      <c r="E214" s="5" t="s">
        <v>20</v>
      </c>
      <c r="F214" s="76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</row>
    <row r="215" spans="1:107" s="2" customFormat="1" x14ac:dyDescent="0.3">
      <c r="A215" s="77"/>
      <c r="B215" s="77"/>
      <c r="C215" s="77"/>
      <c r="E215" s="5" t="s">
        <v>19</v>
      </c>
      <c r="F215" s="76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f>SUM(O216:O217)</f>
        <v>11</v>
      </c>
      <c r="P215" s="8">
        <f>SUM(P216:P217)</f>
        <v>14</v>
      </c>
      <c r="Q215" s="8">
        <f>SUM(Q216:Q217)</f>
        <v>11</v>
      </c>
      <c r="S215" s="28"/>
      <c r="T215" s="28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s="2" customFormat="1" x14ac:dyDescent="0.3">
      <c r="A216" s="77"/>
      <c r="B216" s="77"/>
      <c r="C216" s="77"/>
      <c r="E216" s="14" t="s">
        <v>41</v>
      </c>
      <c r="F216" s="76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S216" s="28"/>
      <c r="T216" s="28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s="2" customFormat="1" x14ac:dyDescent="0.3">
      <c r="A217" s="77"/>
      <c r="B217" s="77"/>
      <c r="C217" s="77"/>
      <c r="E217" s="14" t="s">
        <v>40</v>
      </c>
      <c r="F217" s="76">
        <v>0</v>
      </c>
      <c r="G217" s="8">
        <v>0</v>
      </c>
      <c r="H217" s="8">
        <v>0</v>
      </c>
      <c r="I217" s="8">
        <v>0</v>
      </c>
      <c r="J217" s="8">
        <v>0</v>
      </c>
      <c r="K217" s="8">
        <v>0</v>
      </c>
      <c r="L217" s="8">
        <v>0</v>
      </c>
      <c r="M217" s="8">
        <v>0</v>
      </c>
      <c r="N217" s="8">
        <v>0</v>
      </c>
      <c r="O217" s="8">
        <v>11</v>
      </c>
      <c r="P217" s="8">
        <v>14</v>
      </c>
      <c r="Q217" s="8">
        <v>11</v>
      </c>
      <c r="S217" s="28"/>
      <c r="T217" s="28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s="2" customFormat="1" x14ac:dyDescent="0.3">
      <c r="A218" s="77"/>
      <c r="B218" s="77"/>
      <c r="C218" s="77"/>
      <c r="E218" s="5" t="s">
        <v>39</v>
      </c>
      <c r="F218" s="76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f>SUM(O221:O225)</f>
        <v>0</v>
      </c>
      <c r="P218" s="8">
        <f>SUM(P221:P225)</f>
        <v>1</v>
      </c>
      <c r="Q218" s="8">
        <f>SUM(Q221:Q225)</f>
        <v>3</v>
      </c>
      <c r="S218" s="28"/>
      <c r="T218" s="28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s="2" customFormat="1" x14ac:dyDescent="0.3">
      <c r="A219" s="77"/>
      <c r="B219" s="77"/>
      <c r="C219" s="77"/>
      <c r="E219" s="5" t="s">
        <v>15</v>
      </c>
      <c r="F219" s="76">
        <v>0</v>
      </c>
      <c r="G219" s="8">
        <v>0</v>
      </c>
      <c r="H219" s="8">
        <v>0</v>
      </c>
      <c r="I219" s="8">
        <v>0</v>
      </c>
      <c r="J219" s="8">
        <v>0</v>
      </c>
      <c r="K219" s="8">
        <v>0</v>
      </c>
      <c r="L219" s="8">
        <v>0</v>
      </c>
      <c r="M219" s="8">
        <v>0</v>
      </c>
      <c r="N219" s="8">
        <v>0</v>
      </c>
      <c r="O219" s="8">
        <v>1</v>
      </c>
      <c r="P219" s="8">
        <v>0</v>
      </c>
      <c r="Q219" s="8">
        <v>0</v>
      </c>
      <c r="S219" s="28"/>
      <c r="T219" s="28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s="2" customFormat="1" x14ac:dyDescent="0.3">
      <c r="A220" s="77"/>
      <c r="B220" s="77"/>
      <c r="C220" s="77"/>
      <c r="E220" s="5" t="s">
        <v>14</v>
      </c>
      <c r="F220" s="76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10">
        <f>IFERROR(O218/N215,0)</f>
        <v>0</v>
      </c>
      <c r="P220" s="10">
        <f>IFERROR(P218/O215,0)</f>
        <v>9.0909090909090912E-2</v>
      </c>
      <c r="Q220" s="10">
        <f>IFERROR(Q218/P215,0)</f>
        <v>0.21428571428571427</v>
      </c>
      <c r="S220" s="28"/>
      <c r="T220" s="28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s="2" customFormat="1" x14ac:dyDescent="0.3">
      <c r="A221" s="77"/>
      <c r="B221" s="77"/>
      <c r="C221" s="77"/>
      <c r="E221" s="5" t="s">
        <v>13</v>
      </c>
      <c r="F221" s="76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S221" s="28"/>
      <c r="T221" s="28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s="2" customFormat="1" x14ac:dyDescent="0.3">
      <c r="A222" s="77"/>
      <c r="B222" s="77"/>
      <c r="C222" s="77"/>
      <c r="E222" s="5" t="s">
        <v>12</v>
      </c>
      <c r="F222" s="76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1</v>
      </c>
      <c r="Q222" s="8">
        <v>3</v>
      </c>
      <c r="S222" s="28"/>
      <c r="T222" s="28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s="2" customFormat="1" x14ac:dyDescent="0.3">
      <c r="A223" s="77"/>
      <c r="B223" s="77"/>
      <c r="C223" s="77"/>
      <c r="E223" s="5" t="s">
        <v>11</v>
      </c>
      <c r="F223" s="76">
        <v>0</v>
      </c>
      <c r="G223" s="8">
        <v>0</v>
      </c>
      <c r="H223" s="8">
        <v>0</v>
      </c>
      <c r="I223" s="8">
        <v>0</v>
      </c>
      <c r="J223" s="8">
        <v>0</v>
      </c>
      <c r="K223" s="8">
        <v>0</v>
      </c>
      <c r="L223" s="8">
        <v>0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S223" s="28"/>
      <c r="T223" s="28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s="2" customFormat="1" x14ac:dyDescent="0.3">
      <c r="A224" s="77"/>
      <c r="B224" s="77"/>
      <c r="C224" s="77"/>
      <c r="E224" s="5" t="s">
        <v>50</v>
      </c>
      <c r="F224" s="76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8">
        <v>0</v>
      </c>
      <c r="O224" s="42">
        <v>0</v>
      </c>
      <c r="P224" s="42">
        <v>0</v>
      </c>
      <c r="Q224" s="42">
        <v>0</v>
      </c>
      <c r="S224" s="28"/>
      <c r="T224" s="28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s="2" customFormat="1" x14ac:dyDescent="0.3">
      <c r="A225" s="77"/>
      <c r="B225" s="77"/>
      <c r="C225" s="77"/>
      <c r="E225" s="5" t="s">
        <v>46</v>
      </c>
      <c r="F225" s="76">
        <v>0</v>
      </c>
      <c r="G225" s="8">
        <v>0</v>
      </c>
      <c r="H225" s="8">
        <v>0</v>
      </c>
      <c r="I225" s="8">
        <v>0</v>
      </c>
      <c r="J225" s="8">
        <v>0</v>
      </c>
      <c r="K225" s="8">
        <v>0</v>
      </c>
      <c r="L225" s="8">
        <v>0</v>
      </c>
      <c r="M225" s="8">
        <v>0</v>
      </c>
      <c r="N225" s="8">
        <v>0</v>
      </c>
      <c r="O225" s="42">
        <v>0</v>
      </c>
      <c r="P225" s="42">
        <v>0</v>
      </c>
      <c r="Q225" s="42">
        <v>0</v>
      </c>
      <c r="S225" s="28"/>
      <c r="T225" s="28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s="2" customFormat="1" x14ac:dyDescent="0.3">
      <c r="A226" s="77"/>
      <c r="B226" s="77"/>
      <c r="C226" s="77"/>
      <c r="E226" s="5" t="s">
        <v>6</v>
      </c>
      <c r="F226" s="76">
        <v>0</v>
      </c>
      <c r="G226" s="8">
        <v>0</v>
      </c>
      <c r="H226" s="8">
        <v>0</v>
      </c>
      <c r="I226" s="8">
        <v>0</v>
      </c>
      <c r="J226" s="8">
        <v>0</v>
      </c>
      <c r="K226" s="8">
        <v>0</v>
      </c>
      <c r="L226" s="8">
        <v>0</v>
      </c>
      <c r="M226" s="8">
        <v>0</v>
      </c>
      <c r="N226" s="8">
        <v>0</v>
      </c>
      <c r="O226" s="23">
        <v>15309.05</v>
      </c>
      <c r="P226" s="23">
        <v>18835.64</v>
      </c>
      <c r="Q226" s="23">
        <v>12787.34</v>
      </c>
      <c r="S226" s="28"/>
      <c r="T226" s="28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s="2" customFormat="1" x14ac:dyDescent="0.3">
      <c r="A227" s="77"/>
      <c r="B227" s="77"/>
      <c r="C227" s="77"/>
      <c r="E227" s="5" t="s">
        <v>5</v>
      </c>
      <c r="F227" s="76">
        <v>0</v>
      </c>
      <c r="G227" s="8">
        <v>0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23">
        <v>15309.05</v>
      </c>
      <c r="P227" s="23">
        <v>16833.88</v>
      </c>
      <c r="Q227" s="23">
        <v>10882.1</v>
      </c>
      <c r="S227" s="28"/>
      <c r="T227" s="28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s="2" customFormat="1" x14ac:dyDescent="0.3">
      <c r="A228" s="77"/>
      <c r="B228" s="77"/>
      <c r="C228" s="77"/>
      <c r="E228" s="5" t="s">
        <v>49</v>
      </c>
      <c r="F228" s="76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0</v>
      </c>
      <c r="N228" s="8">
        <v>0</v>
      </c>
      <c r="O228" s="10">
        <f>IFERROR((1-O227/O226),0)</f>
        <v>0</v>
      </c>
      <c r="P228" s="10">
        <f>IFERROR((1-P227/P226),0)</f>
        <v>0.10627512524129779</v>
      </c>
      <c r="Q228" s="10">
        <f>IFERROR((1-Q227/Q226),0)</f>
        <v>0.14899423961511926</v>
      </c>
      <c r="S228" s="28"/>
      <c r="T228" s="28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x14ac:dyDescent="0.3">
      <c r="A229" s="77"/>
      <c r="B229" s="77"/>
      <c r="C229" s="77"/>
      <c r="E229" s="5" t="s">
        <v>3</v>
      </c>
      <c r="F229" s="76">
        <v>0</v>
      </c>
      <c r="G229" s="8">
        <v>0</v>
      </c>
      <c r="H229" s="8">
        <v>0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11</v>
      </c>
      <c r="P229" s="8">
        <v>3</v>
      </c>
      <c r="Q229" s="8">
        <v>0</v>
      </c>
    </row>
    <row r="230" spans="1:107" x14ac:dyDescent="0.3">
      <c r="A230" s="77"/>
      <c r="B230" s="77"/>
      <c r="C230" s="77"/>
      <c r="E230" s="5" t="s">
        <v>2</v>
      </c>
      <c r="F230" s="76">
        <v>0</v>
      </c>
      <c r="G230" s="8">
        <v>0</v>
      </c>
      <c r="H230" s="8">
        <v>0</v>
      </c>
      <c r="I230" s="8">
        <v>0</v>
      </c>
      <c r="J230" s="8">
        <v>0</v>
      </c>
      <c r="K230" s="8">
        <v>0</v>
      </c>
      <c r="L230" s="8">
        <v>0</v>
      </c>
      <c r="M230" s="8">
        <v>0</v>
      </c>
      <c r="N230" s="8">
        <v>0</v>
      </c>
      <c r="O230" s="24">
        <f>IFERROR(O226/O215,0)</f>
        <v>1391.7318181818182</v>
      </c>
      <c r="P230" s="24">
        <f>IFERROR(P226/P215,0)</f>
        <v>1345.4028571428571</v>
      </c>
      <c r="Q230" s="24">
        <f>IFERROR(Q226/Q215,0)</f>
        <v>1162.4854545454546</v>
      </c>
    </row>
    <row r="231" spans="1:107" x14ac:dyDescent="0.3">
      <c r="A231" s="77"/>
      <c r="B231" s="77"/>
      <c r="C231" s="77"/>
      <c r="E231" s="5" t="s">
        <v>1</v>
      </c>
      <c r="F231" s="76">
        <v>0</v>
      </c>
      <c r="G231" s="8">
        <v>0</v>
      </c>
      <c r="H231" s="8">
        <v>0</v>
      </c>
      <c r="I231" s="8">
        <v>0</v>
      </c>
      <c r="J231" s="8">
        <v>0</v>
      </c>
      <c r="K231" s="8">
        <v>0</v>
      </c>
      <c r="L231" s="8">
        <v>0</v>
      </c>
      <c r="M231" s="8">
        <v>0</v>
      </c>
      <c r="N231" s="8">
        <v>0</v>
      </c>
      <c r="O231" s="56">
        <v>0</v>
      </c>
      <c r="P231" s="56">
        <v>0</v>
      </c>
      <c r="Q231" s="56">
        <v>0</v>
      </c>
    </row>
    <row r="232" spans="1:107" x14ac:dyDescent="0.3">
      <c r="A232" s="77"/>
      <c r="B232" s="77"/>
      <c r="C232" s="77"/>
      <c r="E232" s="5" t="s">
        <v>0</v>
      </c>
      <c r="F232" s="76">
        <v>0</v>
      </c>
      <c r="G232" s="8">
        <v>0</v>
      </c>
      <c r="H232" s="8">
        <v>0</v>
      </c>
      <c r="I232" s="8">
        <v>0</v>
      </c>
      <c r="J232" s="8">
        <v>0</v>
      </c>
      <c r="K232" s="8">
        <v>0</v>
      </c>
      <c r="L232" s="8">
        <v>0</v>
      </c>
      <c r="M232" s="8">
        <v>0</v>
      </c>
      <c r="N232" s="8">
        <v>0</v>
      </c>
      <c r="O232" s="56">
        <v>0</v>
      </c>
      <c r="P232" s="56">
        <v>0</v>
      </c>
      <c r="Q232" s="56">
        <v>0</v>
      </c>
    </row>
    <row r="233" spans="1:107" ht="3.6" customHeight="1" x14ac:dyDescent="0.3">
      <c r="A233" s="2"/>
      <c r="B233" s="2"/>
      <c r="C233" s="2"/>
      <c r="E233" s="2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>
        <f>O237-P240+P253</f>
        <v>883</v>
      </c>
      <c r="Q233" s="29"/>
    </row>
    <row r="234" spans="1:107" x14ac:dyDescent="0.3">
      <c r="E234" s="54" t="s">
        <v>33</v>
      </c>
      <c r="F234" s="54" t="s">
        <v>32</v>
      </c>
      <c r="G234" s="54" t="s">
        <v>31</v>
      </c>
      <c r="H234" s="54" t="s">
        <v>30</v>
      </c>
      <c r="I234" s="54" t="s">
        <v>29</v>
      </c>
      <c r="J234" s="54" t="s">
        <v>28</v>
      </c>
      <c r="K234" s="54" t="s">
        <v>27</v>
      </c>
      <c r="L234" s="54" t="s">
        <v>26</v>
      </c>
      <c r="M234" s="54" t="s">
        <v>25</v>
      </c>
      <c r="N234" s="54" t="s">
        <v>24</v>
      </c>
      <c r="O234" s="54" t="s">
        <v>23</v>
      </c>
      <c r="P234" s="54" t="s">
        <v>22</v>
      </c>
      <c r="Q234" s="54" t="s">
        <v>21</v>
      </c>
    </row>
    <row r="235" spans="1:107" x14ac:dyDescent="0.3">
      <c r="E235" s="5" t="s">
        <v>20</v>
      </c>
      <c r="F235" s="76">
        <v>0</v>
      </c>
      <c r="G235" s="8">
        <f>SUM(G150,G172,G193,G214,G127,G104,G81,G36,G13)</f>
        <v>0</v>
      </c>
      <c r="H235" s="8">
        <f>SUM(H150,H172,H193,H214,H127,H104,H81,H36,H13)</f>
        <v>0</v>
      </c>
      <c r="I235" s="8">
        <f>SUM(I150,I172,I193,I214,I127,I104,I81,I36,I13)</f>
        <v>0</v>
      </c>
      <c r="J235" s="8">
        <f>SUM(J150,J172,J193,J214,J127,J104,J81,J36,J13)</f>
        <v>0</v>
      </c>
      <c r="K235" s="8">
        <f>SUM(K150,K172,K193,K214,K127,K104,K81,K36,K13)</f>
        <v>0</v>
      </c>
      <c r="L235" s="8">
        <f>SUM(L150,L172,L193,L214,L127,L104,L81,L36,L13)</f>
        <v>0</v>
      </c>
      <c r="M235" s="8">
        <f>SUM(M150,M172,M193,M214,M127,M104,M81,M36,M13)</f>
        <v>0</v>
      </c>
      <c r="N235" s="8">
        <f>SUM(N150,N172,N193,N214,N127,N104,N81,N36,N13)</f>
        <v>0</v>
      </c>
      <c r="O235" s="8">
        <f>SUM(O150,O172,O193,O214,O127,O104,O81,O36,O13)</f>
        <v>0</v>
      </c>
      <c r="P235" s="8">
        <f>SUM(P150,P172,P193,P214,P127,P104,P81,P36,P13)</f>
        <v>0</v>
      </c>
      <c r="Q235" s="8">
        <f>SUM(Q150,Q172,Q193,Q214,Q127,Q104,Q81,Q36,Q13)</f>
        <v>0</v>
      </c>
    </row>
    <row r="236" spans="1:107" x14ac:dyDescent="0.3">
      <c r="E236" s="5" t="s">
        <v>19</v>
      </c>
      <c r="F236" s="76">
        <v>34379</v>
      </c>
      <c r="G236" s="8">
        <f>SUM(G128,G105,G82,G37,G14,G151,G59,G173)</f>
        <v>33430</v>
      </c>
      <c r="H236" s="8">
        <f>SUM(H128,H105,H82,H37,H14,H151,H59,H173)</f>
        <v>31826</v>
      </c>
      <c r="I236" s="8">
        <f>SUM(I128,I105,I82,I37,I14,I151,I59,I173)</f>
        <v>30368</v>
      </c>
      <c r="J236" s="8">
        <f>SUM(J128,J105,J82,J37,J14,J151,J59,J173)</f>
        <v>28846</v>
      </c>
      <c r="K236" s="8">
        <f>SUM(K128,K105,K82,K37,K14,K151,K59,K173)</f>
        <v>28068</v>
      </c>
      <c r="L236" s="8">
        <f>SUM(L128,L105,L82,L37,L14,L151,L59,L173)</f>
        <v>26090</v>
      </c>
      <c r="M236" s="8">
        <f>SUM(M128,M105,M82,M37,M14,M151,M59,M173)</f>
        <v>24933</v>
      </c>
      <c r="N236" s="8">
        <f>SUM(N128,N105,N82,N37,N14,N151,N59,N173,N194)</f>
        <v>23875</v>
      </c>
      <c r="O236" s="8">
        <f>SUM(O128,O105,O82,O37,O14,O151,O59,O173,O194,O215)</f>
        <v>22996</v>
      </c>
      <c r="P236" s="8">
        <f>SUM(P128,P105,P82,P37,P14,P151,P59,P173,P194,P215)</f>
        <v>22374</v>
      </c>
      <c r="Q236" s="8">
        <f>SUM(Q128,Q105,Q82,Q37,Q14,Q151,Q59,Q173,Q194,Q215)</f>
        <v>21779</v>
      </c>
    </row>
    <row r="237" spans="1:107" x14ac:dyDescent="0.3">
      <c r="E237" s="14" t="s">
        <v>41</v>
      </c>
      <c r="F237" s="76">
        <v>1515</v>
      </c>
      <c r="G237" s="8">
        <f>SUM(G129,G106,G83,G38,G15,G152,G60,G174)</f>
        <v>1487</v>
      </c>
      <c r="H237" s="8">
        <f>SUM(H129,H106,H83,H38,H15,H152,H60,H174)</f>
        <v>1438</v>
      </c>
      <c r="I237" s="8">
        <f>SUM(I129,I106,I83,I38,I15,I152,I60,I174)</f>
        <v>1375</v>
      </c>
      <c r="J237" s="8">
        <f>SUM(J129,J106,J83,J38,J15,J152,J60,J174)</f>
        <v>1342</v>
      </c>
      <c r="K237" s="8">
        <f>SUM(K129,K106,K83,K38,K15,K152,K60,K174)</f>
        <v>1308</v>
      </c>
      <c r="L237" s="8">
        <f>SUM(L129,L106,L83,L38,L15,L152,L60,L174)</f>
        <v>1285</v>
      </c>
      <c r="M237" s="8">
        <f>SUM(M129,M106,M83,M38,M15,M152,M60,M174)</f>
        <v>1225</v>
      </c>
      <c r="N237" s="8">
        <f>SUM(N129,N106,N83,N38,N15,N152,N60,N174,N195)</f>
        <v>1196</v>
      </c>
      <c r="O237" s="8">
        <f>SUM(O129,O106,O83,O38,O15,O152,O60,O174,O195,O216)</f>
        <v>1179</v>
      </c>
      <c r="P237" s="8">
        <f>SUM(P129,P106,P83,P38,P15,P152,P60,P174,P195,P216)</f>
        <v>1159</v>
      </c>
      <c r="Q237" s="8">
        <f>SUM(Q129,Q106,Q83,Q38,Q15,Q152,Q60,Q174,Q195,Q216)</f>
        <v>1135</v>
      </c>
    </row>
    <row r="238" spans="1:107" x14ac:dyDescent="0.3">
      <c r="E238" s="14" t="s">
        <v>40</v>
      </c>
      <c r="F238" s="76">
        <v>32864</v>
      </c>
      <c r="G238" s="8">
        <f>SUM(G130,G107,G84,G39,G16,G153,G61,G175)</f>
        <v>31943</v>
      </c>
      <c r="H238" s="8">
        <f>SUM(H130,H107,H84,H39,H16,H153,H61,H175)</f>
        <v>30388</v>
      </c>
      <c r="I238" s="8">
        <f>SUM(I130,I107,I84,I39,I16,I153,I61,I175)</f>
        <v>28993</v>
      </c>
      <c r="J238" s="8">
        <f>SUM(J130,J107,J84,J39,J16,J153,J61,J175)</f>
        <v>27504</v>
      </c>
      <c r="K238" s="8">
        <f>SUM(K130,K107,K84,K39,K16,K153,K61,K175)</f>
        <v>26760</v>
      </c>
      <c r="L238" s="8">
        <f>SUM(L130,L107,L84,L39,L16,L153,L61,L175)</f>
        <v>24805</v>
      </c>
      <c r="M238" s="8">
        <f>SUM(M130,M107,M84,M39,M16,M153,M61,M175)</f>
        <v>23708</v>
      </c>
      <c r="N238" s="8">
        <f>SUM(N130,N107,N84,N39,N16,N153,N61,N175,N196)</f>
        <v>22679</v>
      </c>
      <c r="O238" s="8">
        <f>SUM(O130,O107,O84,O39,O16,O153,O61,O175,O196,O217)</f>
        <v>21817</v>
      </c>
      <c r="P238" s="8">
        <f>SUM(P130,P107,P84,P39,P16,P153,P61,P175,P196,P217)</f>
        <v>21215</v>
      </c>
      <c r="Q238" s="8">
        <f>SUM(Q130,Q107,Q84,Q39,Q16,Q153,Q61,Q175,Q196,Q217)</f>
        <v>20644</v>
      </c>
    </row>
    <row r="239" spans="1:107" x14ac:dyDescent="0.3">
      <c r="E239" s="5" t="s">
        <v>39</v>
      </c>
      <c r="F239" s="76">
        <v>1786</v>
      </c>
      <c r="G239" s="8">
        <f>SUM(G131,G108,G85,G40,G17,G154,G62,G176)</f>
        <v>1562</v>
      </c>
      <c r="H239" s="8">
        <f>SUM(H131,H108,H85,H40,H17,H154,H62,H176)</f>
        <v>2074</v>
      </c>
      <c r="I239" s="8">
        <f>SUM(I131,I108,I85,I40,I17,I154,I62,I176)</f>
        <v>1903</v>
      </c>
      <c r="J239" s="8">
        <f>SUM(J131,J108,J85,J40,J17,J154,J62,J176)</f>
        <v>1890</v>
      </c>
      <c r="K239" s="8">
        <f>SUM(K131,K108,K85,K40,K17,K154,K62,K176)</f>
        <v>1373</v>
      </c>
      <c r="L239" s="8">
        <f>SUM(L131,L108,L85,L40,L17,L154,L62,L176)</f>
        <v>4353</v>
      </c>
      <c r="M239" s="8">
        <f>SUM(M131,M108,M85,M40,M17,M154,M62,M176)</f>
        <v>1700</v>
      </c>
      <c r="N239" s="8">
        <f>SUM(N131,N108,N85,N40,N17,N154,N62,N176,N197)</f>
        <v>1514</v>
      </c>
      <c r="O239" s="8">
        <f>SUM(O131,O108,O85,O40,O17,O154,O62,O176,O197,O218)</f>
        <v>1283</v>
      </c>
      <c r="P239" s="8">
        <f>SUM(P131,P108,P85,P40,P17,P154,P62,P176,P197,P218)</f>
        <v>935</v>
      </c>
      <c r="Q239" s="8">
        <f>SUM(Q131,Q108,Q85,Q40,Q17,Q154,Q62,Q176,Q197,Q218)</f>
        <v>757</v>
      </c>
    </row>
    <row r="240" spans="1:107" x14ac:dyDescent="0.3">
      <c r="E240" s="5" t="s">
        <v>15</v>
      </c>
      <c r="F240" s="76">
        <v>401</v>
      </c>
      <c r="G240" s="8">
        <f>SUM(G132,G109,G86,G41,G18,G155,G63,G177)</f>
        <v>652</v>
      </c>
      <c r="H240" s="8">
        <f>SUM(H132,H109,H86,H41,H18,H155,H63,H177)</f>
        <v>823</v>
      </c>
      <c r="I240" s="8">
        <f>SUM(I132,I109,I86,I41,I18,I155,I63,I177)</f>
        <v>369</v>
      </c>
      <c r="J240" s="8">
        <f>SUM(J132,J109,J86,J41,J18,J155,J63,J177)</f>
        <v>305</v>
      </c>
      <c r="K240" s="8">
        <f>SUM(K132,K109,K86,K41,K18,K155,K63,K177)</f>
        <v>773</v>
      </c>
      <c r="L240" s="8">
        <f>SUM(L132,L109,L86,L41,L18,L155,L63,L177)</f>
        <v>918</v>
      </c>
      <c r="M240" s="8">
        <f>SUM(M132,M109,M86,M41,M18,M155,M63,M177)</f>
        <v>320</v>
      </c>
      <c r="N240" s="8">
        <f>SUM(N132,N109,N86,N41,N18,N155,N63,N177,N198)</f>
        <v>343</v>
      </c>
      <c r="O240" s="8">
        <f>SUM(O132,O109,O86,O41,O18,O155,O63,O177,O198,O219)</f>
        <v>364</v>
      </c>
      <c r="P240" s="8">
        <f>SUM(P132,P109,P86,P41,P18,P155,P63,P177,P198,P219)</f>
        <v>296</v>
      </c>
      <c r="Q240" s="8">
        <f>SUM(Q132,Q109,Q86,Q41,Q18,Q155,Q63,Q177,Q198,Q219)</f>
        <v>204</v>
      </c>
    </row>
    <row r="241" spans="1:107" x14ac:dyDescent="0.3">
      <c r="E241" s="5" t="s">
        <v>14</v>
      </c>
      <c r="F241" s="10">
        <v>0</v>
      </c>
      <c r="G241" s="10">
        <v>3.0541900578841736E-3</v>
      </c>
      <c r="H241" s="10">
        <f>IFERROR(H239/G236,0)</f>
        <v>6.2040083757104396E-2</v>
      </c>
      <c r="I241" s="10">
        <f>IFERROR(I239/H236,0)</f>
        <v>5.9793879218249232E-2</v>
      </c>
      <c r="J241" s="10">
        <f>IFERROR(J239/I236,0)</f>
        <v>6.2236564805057959E-2</v>
      </c>
      <c r="K241" s="10">
        <f>IFERROR(K239/J236,0)</f>
        <v>4.7597587187131668E-2</v>
      </c>
      <c r="L241" s="10">
        <f>IFERROR(L239/K236,0)</f>
        <v>0.15508764429243266</v>
      </c>
      <c r="M241" s="10">
        <f>IFERROR(M239/L236,0)</f>
        <v>6.5159064775776154E-2</v>
      </c>
      <c r="N241" s="10">
        <f>IFERROR(N239/M236,0)</f>
        <v>6.0722736934985762E-2</v>
      </c>
      <c r="O241" s="10">
        <f>IFERROR(O239/N236,0)</f>
        <v>5.3738219895287959E-2</v>
      </c>
      <c r="P241" s="10">
        <f>IFERROR(P239/O236,0)</f>
        <v>4.0659245086101928E-2</v>
      </c>
      <c r="Q241" s="10">
        <f>IFERROR(Q239/P236,0)</f>
        <v>3.3833914364887814E-2</v>
      </c>
    </row>
    <row r="242" spans="1:107" s="2" customFormat="1" x14ac:dyDescent="0.3">
      <c r="A242" s="1"/>
      <c r="B242" s="1"/>
      <c r="C242" s="1"/>
      <c r="E242" s="5" t="s">
        <v>13</v>
      </c>
      <c r="F242" s="76">
        <v>622</v>
      </c>
      <c r="G242" s="8">
        <f>SUM(G134,G111,G88,G43,G20,G157,G65,G179)</f>
        <v>477</v>
      </c>
      <c r="H242" s="8">
        <f>SUM(H134,H111,H88,H43,H20,H157,H65,H179)</f>
        <v>544</v>
      </c>
      <c r="I242" s="8">
        <f>SUM(I134,I111,I88,I43,I20,I157,I65,I179)</f>
        <v>520</v>
      </c>
      <c r="J242" s="8">
        <f>SUM(J134,J111,J88,J43,J20,J157,J65,J179)</f>
        <v>452</v>
      </c>
      <c r="K242" s="8">
        <f>SUM(K134,K111,K88,K43,K20,K157,K65,K179)</f>
        <v>411</v>
      </c>
      <c r="L242" s="8">
        <f>SUM(L134,L111,L88,L43,L20,L157,L65,L179)</f>
        <v>385</v>
      </c>
      <c r="M242" s="8">
        <f>SUM(M134,M111,M88,M43,M20,M157,M65,M179)</f>
        <v>408</v>
      </c>
      <c r="N242" s="8">
        <f>SUM(N134,N111,N88,N43,N20,N157,N65,N179,N200)</f>
        <v>577</v>
      </c>
      <c r="O242" s="8">
        <f>SUM(O134,O111,O88,O43,O20,O157,O65,O179,O200,O221)</f>
        <v>377</v>
      </c>
      <c r="P242" s="8">
        <f>SUM(P134,P111,P88,P43,P20,P157,P65,P179,P200,P221)</f>
        <v>310</v>
      </c>
      <c r="Q242" s="8">
        <f>SUM(Q134,Q111,Q88,Q43,Q20,Q157,Q65,Q179,Q200,Q221)</f>
        <v>259</v>
      </c>
      <c r="S242" s="28"/>
      <c r="T242" s="28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s="2" customFormat="1" x14ac:dyDescent="0.3">
      <c r="A243" s="1"/>
      <c r="B243" s="1"/>
      <c r="C243" s="1"/>
      <c r="E243" s="5" t="s">
        <v>12</v>
      </c>
      <c r="F243" s="76">
        <v>929</v>
      </c>
      <c r="G243" s="8">
        <f>SUM(G135,G112,G89,G44,G21,G158,G66,G180)</f>
        <v>32</v>
      </c>
      <c r="H243" s="8">
        <f>SUM(H135,H112,H89,H44,H21,H158,H66,H180)</f>
        <v>5</v>
      </c>
      <c r="I243" s="8">
        <f>SUM(I135,I112,I89,I44,I21,I158,I66,I180)</f>
        <v>0</v>
      </c>
      <c r="J243" s="8">
        <f>SUM(J135,J112,J89,J44,J21,J158,J66,J180)</f>
        <v>334</v>
      </c>
      <c r="K243" s="8">
        <f>SUM(K135,K112,K89,K44,K21,K158,K66,K180)</f>
        <v>837</v>
      </c>
      <c r="L243" s="8">
        <f>SUM(L135,L112,L89,L44,L21,L158,L66,L180)</f>
        <v>2544</v>
      </c>
      <c r="M243" s="8">
        <f>SUM(M135,M112,M89,M44,M21,M158,M66,M180)</f>
        <v>1123</v>
      </c>
      <c r="N243" s="8">
        <f>SUM(N135,N112,N89,N44,N21,N158,N66,N180,N201)</f>
        <v>754</v>
      </c>
      <c r="O243" s="8">
        <f>SUM(O135,O112,O89,O44,O21,O158,O66,O180,O201,O222)</f>
        <v>814</v>
      </c>
      <c r="P243" s="8">
        <f>SUM(P135,P112,P89,P44,P21,P158,P66,P180,P201,P222)</f>
        <v>554</v>
      </c>
      <c r="Q243" s="8">
        <f>SUM(Q135,Q112,Q89,Q44,Q21,Q158,Q66,Q180,Q201,Q222)</f>
        <v>425</v>
      </c>
      <c r="S243" s="28"/>
      <c r="T243" s="28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s="2" customFormat="1" x14ac:dyDescent="0.3">
      <c r="A244" s="1"/>
      <c r="B244" s="1"/>
      <c r="C244" s="1"/>
      <c r="E244" s="5" t="s">
        <v>11</v>
      </c>
      <c r="F244" s="76">
        <v>202</v>
      </c>
      <c r="G244" s="8">
        <f>SUM(G136,G113,G90,G45,G22,G159,G67,G181)</f>
        <v>171</v>
      </c>
      <c r="H244" s="8">
        <f>SUM(H136,H113,H90,H45,H22,H159,H67,H181)</f>
        <v>280</v>
      </c>
      <c r="I244" s="8">
        <f>SUM(I136,I113,I90,I45,I22,I159,I67,I181)</f>
        <v>167</v>
      </c>
      <c r="J244" s="8">
        <f>SUM(J136,J113,J90,J45,J22,J159,J67,J181)</f>
        <v>49</v>
      </c>
      <c r="K244" s="8">
        <f>SUM(K136,K113,K90,K45,K22,K159,K67,K181)</f>
        <v>62</v>
      </c>
      <c r="L244" s="8">
        <f>SUM(L136,L113,L90,L45,L22,L159,L67,L181)</f>
        <v>226</v>
      </c>
      <c r="M244" s="8">
        <f>SUM(M136,M113,M90,M45,M22,M159,M67,M181)</f>
        <v>142</v>
      </c>
      <c r="N244" s="8">
        <f>SUM(N136,N113,N90,N45,N22,N159,N67,N181,N202)</f>
        <v>110</v>
      </c>
      <c r="O244" s="8">
        <f>SUM(O136,O113,O90,O45,O22,O159,O67,O181,O202,O223)</f>
        <v>88</v>
      </c>
      <c r="P244" s="8">
        <f>SUM(P136,P113,P90,P45,P22,P159,P67,P181,P202,P223)</f>
        <v>62</v>
      </c>
      <c r="Q244" s="8">
        <f>SUM(Q136,Q113,Q90,Q45,Q22,Q159,Q67,Q181,Q202,Q223)</f>
        <v>62</v>
      </c>
      <c r="S244" s="28"/>
      <c r="T244" s="28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s="2" customFormat="1" x14ac:dyDescent="0.3">
      <c r="A245" s="1"/>
      <c r="B245" s="1"/>
      <c r="C245" s="1"/>
      <c r="E245" s="5" t="s">
        <v>50</v>
      </c>
      <c r="F245" s="76">
        <v>5</v>
      </c>
      <c r="G245" s="8">
        <f>SUM(G137,G114,G91,G46,G23,G160,G68,G182)</f>
        <v>6</v>
      </c>
      <c r="H245" s="8">
        <f>SUM(H137,H114,H91,H46,H23,H160,H68,H182)</f>
        <v>8</v>
      </c>
      <c r="I245" s="8">
        <f>SUM(I137,I114,I91,I46,I23,I160,I68,I182)</f>
        <v>1</v>
      </c>
      <c r="J245" s="8">
        <f>SUM(J137,J114,J91,J46,J23,J160,J68,J182)</f>
        <v>6</v>
      </c>
      <c r="K245" s="8">
        <f>SUM(K137,K114,K91,K46,K23,K160,K68,K182)</f>
        <v>3</v>
      </c>
      <c r="L245" s="8">
        <f>SUM(L137,L114,L91,L46,L23,L160,L68,L182)</f>
        <v>2</v>
      </c>
      <c r="M245" s="8">
        <f>SUM(M137,M114,M91,M46,M23,M160,M68,M182)</f>
        <v>4</v>
      </c>
      <c r="N245" s="8">
        <f>SUM(N137,N114,N91,N46,N23,N160,N68,N182,N203)</f>
        <v>5</v>
      </c>
      <c r="O245" s="8">
        <f>SUM(O137,O114,O91,O46,O23,O160,O68,O182,O203,O224)</f>
        <v>0</v>
      </c>
      <c r="P245" s="8">
        <f>SUM(P137,P114,P91,P46,P23,P160,P68,P182,P203,P224)</f>
        <v>0</v>
      </c>
      <c r="Q245" s="8">
        <f>SUM(Q137,Q114,Q91,Q46,Q23,Q160,Q68,Q182,Q203,Q224)</f>
        <v>7</v>
      </c>
      <c r="S245" s="28"/>
      <c r="T245" s="28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s="2" customFormat="1" x14ac:dyDescent="0.3">
      <c r="A246" s="1"/>
      <c r="B246" s="1"/>
      <c r="C246" s="1"/>
      <c r="E246" s="5" t="s">
        <v>46</v>
      </c>
      <c r="F246" s="76">
        <v>28</v>
      </c>
      <c r="G246" s="8">
        <f>SUM(G138,G115,G92,G47,G24,G161,G69,G183)</f>
        <v>876</v>
      </c>
      <c r="H246" s="8">
        <f>SUM(H138,H115,H92,H47,H24,H161,H69,H183)</f>
        <v>1237</v>
      </c>
      <c r="I246" s="8">
        <f>SUM(I138,I115,I92,I47,I24,I161,I69,I183)</f>
        <v>1215</v>
      </c>
      <c r="J246" s="8">
        <f>SUM(J138,J115,J92,J47,J24,J161,J69,J183)</f>
        <v>1049</v>
      </c>
      <c r="K246" s="8">
        <f>SUM(K138,K115,K92,K47,K24,K161,K69,K183)</f>
        <v>60</v>
      </c>
      <c r="L246" s="8">
        <f>SUM(L138,L115,L92,L47,L24,L161,L69,L183)</f>
        <v>1196</v>
      </c>
      <c r="M246" s="8">
        <f>SUM(M138,M115,M92,M47,M24,M161,M69,M183)</f>
        <v>23</v>
      </c>
      <c r="N246" s="8">
        <f>SUM(N138,N115,N92,N47,N24,N161,N69,N183,N204)</f>
        <v>68</v>
      </c>
      <c r="O246" s="8">
        <f>SUM(O138,O115,O92,O47,O24,O161,O69,O183,O204,O225)</f>
        <v>4</v>
      </c>
      <c r="P246" s="8">
        <f>SUM(P138,P115,P92,P47,P24,P161,P69,P183,P204,P225)</f>
        <v>9</v>
      </c>
      <c r="Q246" s="8">
        <f>SUM(Q138,Q115,Q92,Q47,Q24,Q161,Q69,Q183,Q204,Q225)</f>
        <v>4</v>
      </c>
      <c r="S246" s="28"/>
      <c r="T246" s="28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s="2" customFormat="1" x14ac:dyDescent="0.3">
      <c r="A247" s="1"/>
      <c r="B247" s="1"/>
      <c r="C247" s="1"/>
      <c r="E247" s="5" t="s">
        <v>6</v>
      </c>
      <c r="F247" s="76">
        <v>27294053.739999935</v>
      </c>
      <c r="G247" s="8">
        <f>SUM(G139,G116,G93,G70,G48,G25,G162,G184)</f>
        <v>26389731.520000115</v>
      </c>
      <c r="H247" s="8">
        <f>SUM(H139,H116,H93,H70,H48,H25,H162,H184)</f>
        <v>26199363.180000089</v>
      </c>
      <c r="I247" s="8">
        <f>SUM(I139,I116,I93,I70,I48,I25,I162,I184)</f>
        <v>24823948.469999675</v>
      </c>
      <c r="J247" s="8">
        <f>SUM(J139,J116,J93,J70,J48,J25,J162,J184)</f>
        <v>23509268.699999783</v>
      </c>
      <c r="K247" s="8">
        <f>SUM(K139,K116,K93,K70,K48,K25,K162,K184)</f>
        <v>22853887.249999799</v>
      </c>
      <c r="L247" s="8">
        <f>SUM(L139,L116,L93,L70,L48,L25,L162,L184)</f>
        <v>24055729.01999978</v>
      </c>
      <c r="M247" s="8">
        <f>SUM(M139,M116,M93,M70,M48,M25,M162,M184)</f>
        <v>22369403.979999773</v>
      </c>
      <c r="N247" s="8">
        <f>SUM(N139,N116,N93,N48,N25,N162,N70,N184,N205)</f>
        <v>21040220.519999962</v>
      </c>
      <c r="O247" s="8">
        <f>SUM(O139,O116,O93,O48,O25,O162,O70,O184,O205,O226)</f>
        <v>20445242.380000066</v>
      </c>
      <c r="P247" s="8">
        <f>SUM(P139,P116,P93,P48,P25,P162,P70,P184,P205,P226)</f>
        <v>20146409.230000008</v>
      </c>
      <c r="Q247" s="8">
        <f>SUM(Q139,Q116,Q93,Q48,Q25,Q162,Q70,Q184,Q205,Q226)</f>
        <v>19523723.82000006</v>
      </c>
      <c r="S247" s="28"/>
      <c r="T247" s="28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s="2" customFormat="1" x14ac:dyDescent="0.3">
      <c r="A248" s="1"/>
      <c r="B248" s="1"/>
      <c r="C248" s="1"/>
      <c r="E248" s="5" t="s">
        <v>5</v>
      </c>
      <c r="F248" s="76">
        <v>24879960.459999911</v>
      </c>
      <c r="G248" s="8">
        <f>SUM(G140,G117,G94,G71,G49,G26,G163,G185)</f>
        <v>24198071.310000118</v>
      </c>
      <c r="H248" s="8">
        <f>SUM(H140,H117,H94,H71,H49,H26,H163,H185)</f>
        <v>23941197.790000081</v>
      </c>
      <c r="I248" s="8">
        <f>SUM(I140,I117,I94,I71,I49,I26,I163,I185)</f>
        <v>22497435.129999671</v>
      </c>
      <c r="J248" s="8">
        <f>SUM(J140,J117,J94,J71,J49,J26,J163,J185)</f>
        <v>21781944.519999783</v>
      </c>
      <c r="K248" s="8">
        <f>SUM(K140,K117,K94,K71,K49,K26,K163,K185)</f>
        <v>20786829.729999803</v>
      </c>
      <c r="L248" s="8">
        <f>SUM(L140,L117,L94,L71,L49,L26,L163,L185)</f>
        <v>21312891.919999778</v>
      </c>
      <c r="M248" s="8">
        <f>SUM(M140,M117,M94,M71,M49,M26,M163,M185)</f>
        <v>19931706.929999769</v>
      </c>
      <c r="N248" s="8">
        <f>SUM(N140,N117,N94,N49,N26,N163,N71,N185,N206)</f>
        <v>18836233.20999996</v>
      </c>
      <c r="O248" s="8">
        <f>SUM(O140,O117,O94,O49,O26,O163,O71,O185,O206,O227)</f>
        <v>18522045.730000064</v>
      </c>
      <c r="P248" s="8">
        <f>SUM(P140,P117,P94,P49,P26,P163,P71,P185,P206,P227)</f>
        <v>18161023.280000009</v>
      </c>
      <c r="Q248" s="8">
        <f>SUM(Q140,Q117,Q94,Q49,Q26,Q163,Q71,Q185,Q206,Q227)</f>
        <v>17530972.930000059</v>
      </c>
      <c r="S248" s="28"/>
      <c r="T248" s="28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s="2" customFormat="1" x14ac:dyDescent="0.3">
      <c r="A249" s="1"/>
      <c r="B249" s="1"/>
      <c r="C249" s="1"/>
      <c r="E249" s="5" t="s">
        <v>49</v>
      </c>
      <c r="F249" s="10">
        <v>8.8447590196619519E-2</v>
      </c>
      <c r="G249" s="10">
        <f>IFERROR((1-G248/G247),0)</f>
        <v>8.3049735020570115E-2</v>
      </c>
      <c r="H249" s="10">
        <f>IFERROR((1-H248/H247),0)</f>
        <v>8.6191613684863611E-2</v>
      </c>
      <c r="I249" s="10">
        <f>IFERROR((1-I248/I247),0)</f>
        <v>9.3720519232129762E-2</v>
      </c>
      <c r="J249" s="10">
        <f>IFERROR((1-J248/J247),0)</f>
        <v>7.3474177442193978E-2</v>
      </c>
      <c r="K249" s="10">
        <f>IFERROR((1-K248/K247),0)</f>
        <v>9.0446649070608953E-2</v>
      </c>
      <c r="L249" s="10">
        <f>IFERROR((1-L248/L247),0)</f>
        <v>0.11402011960309433</v>
      </c>
      <c r="M249" s="10">
        <f>IFERROR((1-M248/M247),0)</f>
        <v>0.10897460889791799</v>
      </c>
      <c r="N249" s="10">
        <f>IFERROR((1-N248/N247),0)</f>
        <v>0.10475115067852936</v>
      </c>
      <c r="O249" s="10">
        <f>IFERROR((1-O248/O247),0)</f>
        <v>9.4065730024375238E-2</v>
      </c>
      <c r="P249" s="10">
        <f>IFERROR((1-P248/P247),0)</f>
        <v>9.8547881527372261E-2</v>
      </c>
      <c r="Q249" s="10">
        <f>IFERROR((1-Q248/Q247),0)</f>
        <v>0.10206817656161637</v>
      </c>
      <c r="R249" s="10">
        <f>IFERROR((1-R248/R247),0)</f>
        <v>0</v>
      </c>
      <c r="S249" s="28"/>
      <c r="T249" s="28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s="2" customFormat="1" x14ac:dyDescent="0.3">
      <c r="A250" s="1"/>
      <c r="B250" s="1"/>
      <c r="C250" s="1"/>
      <c r="E250" s="5" t="s">
        <v>3</v>
      </c>
      <c r="F250" s="76">
        <v>591</v>
      </c>
      <c r="G250" s="8">
        <f>SUM(G165,G142,G119,G96,G73,G51,G28,G187)</f>
        <v>603</v>
      </c>
      <c r="H250" s="8">
        <f>SUM(H165,H142,H119,H96,H73,H51,H28,H187)</f>
        <v>467</v>
      </c>
      <c r="I250" s="8">
        <f>SUM(I165,I142,I119,I96,I73,I51,I28,I187)</f>
        <v>447</v>
      </c>
      <c r="J250" s="8">
        <f>SUM(J165,J142,J119,J96,J73,J51,J28,J187)</f>
        <v>385</v>
      </c>
      <c r="K250" s="8">
        <f>SUM(K165,K142,K119,K96,K73,K51,K28,K187)</f>
        <v>566</v>
      </c>
      <c r="L250" s="8">
        <f>SUM(L165,L142,L119,L96,L73,L51,L28,L187)</f>
        <v>1276</v>
      </c>
      <c r="M250" s="8">
        <f>SUM(M165,M142,M119,M96,M73,M51,M28,M187)</f>
        <v>623</v>
      </c>
      <c r="N250" s="8">
        <f>SUM(N165,N142,N119,N96,N73,N51,N28,N187,N208)</f>
        <v>481</v>
      </c>
      <c r="O250" s="8">
        <f>SUM(O165,O142,O119,O96,O73,O51,O28,O187,O208,O229)</f>
        <v>429</v>
      </c>
      <c r="P250" s="8">
        <f>SUM(P165,P142,P119,P96,P73,P51,P28,P187,P208,P229)</f>
        <v>308</v>
      </c>
      <c r="Q250" s="8">
        <f>SUM(Q165,Q142,Q119,Q96,Q73,Q51,Q28,Q187,Q208,Q229)</f>
        <v>265</v>
      </c>
      <c r="S250" s="28"/>
      <c r="T250" s="28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s="2" customFormat="1" x14ac:dyDescent="0.3">
      <c r="A251" s="1"/>
      <c r="B251" s="1"/>
      <c r="C251" s="1"/>
      <c r="E251" s="5" t="s">
        <v>2</v>
      </c>
      <c r="F251" s="75">
        <v>793.91645306727753</v>
      </c>
      <c r="G251" s="24">
        <f>IFERROR(G247/G236,0)</f>
        <v>789.40267783428408</v>
      </c>
      <c r="H251" s="24">
        <f>IFERROR(H247/H236,0)</f>
        <v>823.20628354176108</v>
      </c>
      <c r="I251" s="24">
        <f>IFERROR(I247/I236,0)</f>
        <v>817.4377130532032</v>
      </c>
      <c r="J251" s="24">
        <f>IFERROR(J247/J236,0)</f>
        <v>814.99232822574299</v>
      </c>
      <c r="K251" s="24">
        <f>IFERROR(K247/K236,0)</f>
        <v>814.23283632605808</v>
      </c>
      <c r="L251" s="24">
        <f>IFERROR(L247/L236,0)</f>
        <v>922.02870908393174</v>
      </c>
      <c r="M251" s="24">
        <f>IFERROR(M247/M236,0)</f>
        <v>897.18060321661142</v>
      </c>
      <c r="N251" s="24">
        <f>IFERROR(N247/N236,0)</f>
        <v>881.26578094240676</v>
      </c>
      <c r="O251" s="24">
        <f>IFERROR(O247/O236,0)</f>
        <v>889.07820403548726</v>
      </c>
      <c r="P251" s="24">
        <f>IFERROR(P247/P236,0)</f>
        <v>900.43842093501416</v>
      </c>
      <c r="Q251" s="24">
        <f>IFERROR(Q247/Q236,0)</f>
        <v>896.4472115340493</v>
      </c>
      <c r="S251" s="28"/>
      <c r="T251" s="28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s="2" customFormat="1" x14ac:dyDescent="0.3">
      <c r="A252" s="1"/>
      <c r="B252" s="1"/>
      <c r="C252" s="1"/>
      <c r="E252" s="5" t="s">
        <v>1</v>
      </c>
      <c r="F252" s="76">
        <v>0</v>
      </c>
      <c r="G252" s="8">
        <f>SUM(G144,G121,G98,G75,G53,G30,G167)</f>
        <v>0</v>
      </c>
      <c r="H252" s="8">
        <f>SUM(H144,H121,H98,H75,H53,H30,H167)</f>
        <v>0</v>
      </c>
      <c r="I252" s="8">
        <f>SUM(I144,I121,I98,I75,I53,I30,I167)</f>
        <v>0</v>
      </c>
      <c r="J252" s="8">
        <f>SUM(J144,J121,J98,J75,J53,J30,J167)</f>
        <v>0</v>
      </c>
      <c r="K252" s="8">
        <f>SUM(K144,K121,K98,K75,K53,K30,K167)</f>
        <v>0</v>
      </c>
      <c r="L252" s="8">
        <f>SUM(L144,L121,L98,L75,L53,L30,L167)</f>
        <v>0</v>
      </c>
      <c r="M252" s="8">
        <f>SUM(M144,M121,M98,M75,M53,M30,M167)</f>
        <v>0</v>
      </c>
      <c r="N252" s="8">
        <f>SUM(N144,N121,N98,N75,N53,N30,N167)</f>
        <v>0</v>
      </c>
      <c r="O252" s="8">
        <v>0</v>
      </c>
      <c r="P252" s="8">
        <v>0</v>
      </c>
      <c r="Q252" s="8">
        <f>SUM(Q144,Q121,Q98,Q75,Q53,Q30,Q167)</f>
        <v>0</v>
      </c>
      <c r="S252" s="28"/>
      <c r="T252" s="28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s="2" customFormat="1" x14ac:dyDescent="0.3">
      <c r="A253" s="1"/>
      <c r="B253" s="1"/>
      <c r="C253" s="1"/>
      <c r="E253" s="5" t="s">
        <v>0</v>
      </c>
      <c r="F253" s="76">
        <v>0</v>
      </c>
      <c r="G253" s="8">
        <f>SUM(G145,G122,G99,G76,G54,G31,G168)</f>
        <v>0</v>
      </c>
      <c r="H253" s="8">
        <f>SUM(H145,H122,H99,H76,H54,H31,H168)</f>
        <v>0</v>
      </c>
      <c r="I253" s="8">
        <f>SUM(I145,I122,I99,I76,I54,I31,I168)</f>
        <v>0</v>
      </c>
      <c r="J253" s="8">
        <f>SUM(J145,J122,J99,J76,J54,J31,J168)</f>
        <v>0</v>
      </c>
      <c r="K253" s="8">
        <f>SUM(K145,K122,K99,K76,K54,K31,K168)</f>
        <v>0</v>
      </c>
      <c r="L253" s="8">
        <f>SUM(L145,L122,L99,L76,L54,L31,L168)</f>
        <v>0</v>
      </c>
      <c r="M253" s="8">
        <f>SUM(M145,M122,M99,M76,M54,M31,M168)</f>
        <v>0</v>
      </c>
      <c r="N253" s="8">
        <f>SUM(N145,N122,N99,N76,N54,N31,N168)</f>
        <v>0</v>
      </c>
      <c r="O253" s="8">
        <f>SUM(O145,O122,O99,O76,O54,O31,O168)</f>
        <v>0</v>
      </c>
      <c r="P253" s="8">
        <f>SUM(P145,P122,P99,P76,P54,P31,P168)</f>
        <v>0</v>
      </c>
      <c r="Q253" s="8">
        <f>SUM(Q145,Q122,Q99,Q76,Q54,Q31,Q168)</f>
        <v>0</v>
      </c>
      <c r="S253" s="28"/>
      <c r="T253" s="28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s="2" customFormat="1" ht="4.2" customHeight="1" x14ac:dyDescent="0.3"/>
    <row r="255" spans="1:107" s="2" customFormat="1" x14ac:dyDescent="0.3">
      <c r="A255" s="70"/>
      <c r="B255" s="70"/>
      <c r="C255" s="70"/>
      <c r="E255" s="54" t="s">
        <v>33</v>
      </c>
      <c r="F255" s="54" t="s">
        <v>32</v>
      </c>
      <c r="G255" s="54" t="s">
        <v>31</v>
      </c>
      <c r="H255" s="54" t="s">
        <v>30</v>
      </c>
      <c r="I255" s="54" t="s">
        <v>29</v>
      </c>
      <c r="J255" s="54" t="s">
        <v>28</v>
      </c>
      <c r="K255" s="54" t="s">
        <v>27</v>
      </c>
      <c r="L255" s="54" t="s">
        <v>26</v>
      </c>
      <c r="M255" s="54" t="s">
        <v>25</v>
      </c>
      <c r="N255" s="54" t="s">
        <v>24</v>
      </c>
      <c r="O255" s="54" t="s">
        <v>23</v>
      </c>
      <c r="P255" s="54" t="s">
        <v>22</v>
      </c>
      <c r="Q255" s="54" t="s">
        <v>21</v>
      </c>
      <c r="S255" s="28"/>
      <c r="T255" s="28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x14ac:dyDescent="0.3">
      <c r="A256" s="70"/>
      <c r="B256" s="70"/>
      <c r="C256" s="70"/>
      <c r="E256" s="5" t="s">
        <v>20</v>
      </c>
      <c r="F256" s="76">
        <v>0</v>
      </c>
      <c r="G256" s="8">
        <v>0</v>
      </c>
      <c r="H256" s="8">
        <v>0</v>
      </c>
      <c r="I256" s="8">
        <v>0</v>
      </c>
      <c r="J256" s="8">
        <v>0</v>
      </c>
      <c r="K256" s="8">
        <v>0</v>
      </c>
      <c r="L256" s="8">
        <v>0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</row>
    <row r="257" spans="1:107" s="2" customFormat="1" x14ac:dyDescent="0.3">
      <c r="A257" s="70"/>
      <c r="B257" s="70"/>
      <c r="C257" s="70"/>
      <c r="E257" s="5" t="s">
        <v>19</v>
      </c>
      <c r="F257" s="76">
        <v>0</v>
      </c>
      <c r="G257" s="8">
        <f>SUM(G258:G259)</f>
        <v>0</v>
      </c>
      <c r="H257" s="8">
        <f>SUM(H258:H259)</f>
        <v>0</v>
      </c>
      <c r="I257" s="8">
        <f>SUM(I258:I259)</f>
        <v>0</v>
      </c>
      <c r="J257" s="8">
        <f>SUM(J258:J259)</f>
        <v>0</v>
      </c>
      <c r="K257" s="8">
        <f>SUM(K258:K259)</f>
        <v>0</v>
      </c>
      <c r="L257" s="8">
        <f>SUM(L258:L259)</f>
        <v>16</v>
      </c>
      <c r="M257" s="8">
        <f>SUM(M258:M259)</f>
        <v>639</v>
      </c>
      <c r="N257" s="8">
        <f>SUM(N258:N259)</f>
        <v>626</v>
      </c>
      <c r="O257" s="8">
        <f>SUM(O258:O259)</f>
        <v>619</v>
      </c>
      <c r="P257" s="8">
        <f>SUM(P258:P259)</f>
        <v>615</v>
      </c>
      <c r="Q257" s="8">
        <f>SUM(Q258:Q259)</f>
        <v>611</v>
      </c>
      <c r="S257" s="28"/>
      <c r="T257" s="28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s="2" customFormat="1" x14ac:dyDescent="0.3">
      <c r="A258" s="70"/>
      <c r="B258" s="70"/>
      <c r="C258" s="70"/>
      <c r="E258" s="14" t="s">
        <v>41</v>
      </c>
      <c r="F258" s="76">
        <v>0</v>
      </c>
      <c r="G258" s="8">
        <v>0</v>
      </c>
      <c r="H258" s="8">
        <v>0</v>
      </c>
      <c r="I258" s="8">
        <v>0</v>
      </c>
      <c r="J258" s="8">
        <v>0</v>
      </c>
      <c r="K258" s="8">
        <v>0</v>
      </c>
      <c r="L258" s="8">
        <v>0</v>
      </c>
      <c r="M258" s="8">
        <v>639</v>
      </c>
      <c r="N258" s="8">
        <v>626</v>
      </c>
      <c r="O258" s="8">
        <v>619</v>
      </c>
      <c r="P258" s="8">
        <v>615</v>
      </c>
      <c r="Q258" s="8">
        <v>611</v>
      </c>
      <c r="S258" s="28"/>
      <c r="T258" s="28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s="2" customFormat="1" x14ac:dyDescent="0.3">
      <c r="A259" s="70"/>
      <c r="B259" s="70"/>
      <c r="C259" s="70"/>
      <c r="E259" s="14" t="s">
        <v>40</v>
      </c>
      <c r="F259" s="76">
        <v>0</v>
      </c>
      <c r="G259" s="8">
        <v>0</v>
      </c>
      <c r="H259" s="8">
        <v>0</v>
      </c>
      <c r="I259" s="8">
        <v>0</v>
      </c>
      <c r="J259" s="8">
        <v>0</v>
      </c>
      <c r="K259" s="8">
        <v>0</v>
      </c>
      <c r="L259" s="8">
        <v>16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S259" s="28"/>
      <c r="T259" s="28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s="2" customFormat="1" x14ac:dyDescent="0.3">
      <c r="A260" s="70"/>
      <c r="B260" s="70"/>
      <c r="C260" s="70"/>
      <c r="E260" s="5" t="s">
        <v>39</v>
      </c>
      <c r="F260" s="76">
        <v>0</v>
      </c>
      <c r="G260" s="8">
        <f>SUM(G263:G267)</f>
        <v>0</v>
      </c>
      <c r="H260" s="8">
        <f>SUM(H263:H267)</f>
        <v>0</v>
      </c>
      <c r="I260" s="8">
        <f>SUM(I263:I267)</f>
        <v>0</v>
      </c>
      <c r="J260" s="8">
        <f>SUM(J263:J267)</f>
        <v>0</v>
      </c>
      <c r="K260" s="8">
        <f>SUM(K263:K267)</f>
        <v>0</v>
      </c>
      <c r="L260" s="8">
        <f>SUM(L263:L267)</f>
        <v>0</v>
      </c>
      <c r="M260" s="8">
        <f>SUM(M263:M267)</f>
        <v>19</v>
      </c>
      <c r="N260" s="8">
        <f>SUM(N263:N267)</f>
        <v>9</v>
      </c>
      <c r="O260" s="8">
        <f>SUM(O263:O267)</f>
        <v>7</v>
      </c>
      <c r="P260" s="8">
        <f>SUM(P263:P267)</f>
        <v>4</v>
      </c>
      <c r="Q260" s="8">
        <f>SUM(Q263:Q267)</f>
        <v>4</v>
      </c>
      <c r="S260" s="28"/>
      <c r="T260" s="28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s="2" customFormat="1" x14ac:dyDescent="0.3">
      <c r="A261" s="70"/>
      <c r="B261" s="70"/>
      <c r="C261" s="70"/>
      <c r="E261" s="5" t="s">
        <v>15</v>
      </c>
      <c r="F261" s="76">
        <v>0</v>
      </c>
      <c r="G261" s="8">
        <v>0</v>
      </c>
      <c r="H261" s="8">
        <v>0</v>
      </c>
      <c r="I261" s="8">
        <v>0</v>
      </c>
      <c r="J261" s="8">
        <v>0</v>
      </c>
      <c r="K261" s="8">
        <v>0</v>
      </c>
      <c r="L261" s="8">
        <v>33</v>
      </c>
      <c r="M261" s="8">
        <v>10</v>
      </c>
      <c r="N261" s="8">
        <v>0</v>
      </c>
      <c r="O261" s="8">
        <v>0</v>
      </c>
      <c r="P261" s="8">
        <v>0</v>
      </c>
      <c r="Q261" s="8">
        <v>0</v>
      </c>
      <c r="S261" s="28"/>
      <c r="T261" s="28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s="2" customFormat="1" x14ac:dyDescent="0.3">
      <c r="A262" s="70"/>
      <c r="B262" s="70"/>
      <c r="C262" s="70"/>
      <c r="E262" s="5" t="s">
        <v>14</v>
      </c>
      <c r="F262" s="10">
        <v>0</v>
      </c>
      <c r="G262" s="10">
        <v>0</v>
      </c>
      <c r="H262" s="10">
        <v>0</v>
      </c>
      <c r="I262" s="10">
        <v>0</v>
      </c>
      <c r="J262" s="10">
        <v>0</v>
      </c>
      <c r="K262" s="10">
        <v>0</v>
      </c>
      <c r="L262" s="10">
        <f>IFERROR(L260/K257,0)</f>
        <v>0</v>
      </c>
      <c r="M262" s="10">
        <f>IFERROR(M260/L257,0)</f>
        <v>1.1875</v>
      </c>
      <c r="N262" s="10">
        <f>IFERROR(N260/M257,0)</f>
        <v>1.4084507042253521E-2</v>
      </c>
      <c r="O262" s="10">
        <f>IFERROR(O260/N257,0)</f>
        <v>1.1182108626198083E-2</v>
      </c>
      <c r="P262" s="10">
        <f>IFERROR(P260/O257,0)</f>
        <v>6.462035541195477E-3</v>
      </c>
      <c r="Q262" s="10">
        <f>IFERROR(Q260/P257,0)</f>
        <v>6.5040650406504065E-3</v>
      </c>
      <c r="S262" s="28"/>
      <c r="T262" s="28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s="2" customFormat="1" x14ac:dyDescent="0.3">
      <c r="A263" s="70"/>
      <c r="B263" s="70"/>
      <c r="C263" s="70"/>
      <c r="E263" s="5" t="s">
        <v>13</v>
      </c>
      <c r="F263" s="76">
        <v>0</v>
      </c>
      <c r="G263" s="8">
        <v>0</v>
      </c>
      <c r="H263" s="8">
        <v>0</v>
      </c>
      <c r="I263" s="8">
        <v>0</v>
      </c>
      <c r="J263" s="8">
        <v>0</v>
      </c>
      <c r="K263" s="8">
        <v>0</v>
      </c>
      <c r="L263" s="8">
        <v>0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S263" s="28"/>
      <c r="T263" s="28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s="2" customFormat="1" x14ac:dyDescent="0.3">
      <c r="A264" s="70"/>
      <c r="B264" s="70"/>
      <c r="C264" s="70"/>
      <c r="E264" s="5" t="s">
        <v>12</v>
      </c>
      <c r="F264" s="76">
        <v>0</v>
      </c>
      <c r="G264" s="8">
        <v>0</v>
      </c>
      <c r="H264" s="8">
        <v>0</v>
      </c>
      <c r="I264" s="8">
        <v>0</v>
      </c>
      <c r="J264" s="8">
        <v>0</v>
      </c>
      <c r="K264" s="8">
        <v>0</v>
      </c>
      <c r="L264" s="8">
        <v>0</v>
      </c>
      <c r="M264" s="8">
        <v>19</v>
      </c>
      <c r="N264" s="8">
        <v>9</v>
      </c>
      <c r="O264" s="8">
        <v>7</v>
      </c>
      <c r="P264" s="8">
        <v>4</v>
      </c>
      <c r="Q264" s="8">
        <v>4</v>
      </c>
      <c r="S264" s="28"/>
      <c r="T264" s="28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s="2" customFormat="1" x14ac:dyDescent="0.3">
      <c r="A265" s="70"/>
      <c r="B265" s="70"/>
      <c r="C265" s="70"/>
      <c r="E265" s="5" t="s">
        <v>11</v>
      </c>
      <c r="F265" s="76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S265" s="28"/>
      <c r="T265" s="28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s="2" customFormat="1" x14ac:dyDescent="0.3">
      <c r="A266" s="70"/>
      <c r="B266" s="70"/>
      <c r="C266" s="70"/>
      <c r="E266" s="5" t="s">
        <v>50</v>
      </c>
      <c r="F266" s="76">
        <v>0</v>
      </c>
      <c r="G266" s="8">
        <v>0</v>
      </c>
      <c r="H266" s="8">
        <v>0</v>
      </c>
      <c r="I266" s="8">
        <v>0</v>
      </c>
      <c r="J266" s="8">
        <v>0</v>
      </c>
      <c r="K266" s="8">
        <v>0</v>
      </c>
      <c r="L266" s="42">
        <v>0</v>
      </c>
      <c r="M266" s="42">
        <v>0</v>
      </c>
      <c r="N266" s="42">
        <v>0</v>
      </c>
      <c r="O266" s="42">
        <v>0</v>
      </c>
      <c r="P266" s="42">
        <v>0</v>
      </c>
      <c r="Q266" s="42">
        <v>0</v>
      </c>
      <c r="S266" s="28"/>
      <c r="T266" s="28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s="2" customFormat="1" x14ac:dyDescent="0.3">
      <c r="A267" s="70"/>
      <c r="B267" s="70"/>
      <c r="C267" s="70"/>
      <c r="E267" s="5" t="s">
        <v>46</v>
      </c>
      <c r="F267" s="76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42">
        <v>0</v>
      </c>
      <c r="M267" s="42">
        <v>0</v>
      </c>
      <c r="N267" s="42">
        <v>0</v>
      </c>
      <c r="O267" s="42">
        <v>0</v>
      </c>
      <c r="P267" s="42">
        <v>0</v>
      </c>
      <c r="Q267" s="42">
        <v>0</v>
      </c>
      <c r="S267" s="28"/>
      <c r="T267" s="28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s="2" customFormat="1" x14ac:dyDescent="0.3">
      <c r="A268" s="70"/>
      <c r="B268" s="70"/>
      <c r="C268" s="70"/>
      <c r="E268" s="5" t="s">
        <v>6</v>
      </c>
      <c r="F268" s="76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23">
        <v>0</v>
      </c>
      <c r="M268" s="23">
        <v>0</v>
      </c>
      <c r="N268" s="23">
        <v>0</v>
      </c>
      <c r="O268" s="23">
        <v>0</v>
      </c>
      <c r="P268" s="23">
        <v>0</v>
      </c>
      <c r="Q268" s="23">
        <v>0</v>
      </c>
      <c r="S268" s="28"/>
      <c r="T268" s="28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s="2" customFormat="1" x14ac:dyDescent="0.3">
      <c r="A269" s="70"/>
      <c r="B269" s="70"/>
      <c r="C269" s="70"/>
      <c r="E269" s="5" t="s">
        <v>5</v>
      </c>
      <c r="F269" s="23">
        <v>0</v>
      </c>
      <c r="G269" s="23">
        <v>0</v>
      </c>
      <c r="H269" s="23">
        <v>0</v>
      </c>
      <c r="I269" s="23">
        <v>0</v>
      </c>
      <c r="J269" s="23">
        <v>0</v>
      </c>
      <c r="K269" s="23">
        <v>0</v>
      </c>
      <c r="L269" s="23">
        <v>0</v>
      </c>
      <c r="M269" s="23">
        <v>0</v>
      </c>
      <c r="N269" s="23">
        <v>0</v>
      </c>
      <c r="O269" s="23">
        <v>0</v>
      </c>
      <c r="P269" s="23">
        <v>0</v>
      </c>
      <c r="Q269" s="23">
        <v>0</v>
      </c>
      <c r="S269" s="28"/>
      <c r="T269" s="28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s="2" customFormat="1" x14ac:dyDescent="0.3">
      <c r="A270" s="70"/>
      <c r="B270" s="70"/>
      <c r="C270" s="70"/>
      <c r="E270" s="5" t="s">
        <v>49</v>
      </c>
      <c r="F270" s="10">
        <v>0</v>
      </c>
      <c r="G270" s="10">
        <f>IFERROR((1-G269/G268),0)</f>
        <v>0</v>
      </c>
      <c r="H270" s="10">
        <f>IFERROR((1-H269/H268),0)</f>
        <v>0</v>
      </c>
      <c r="I270" s="10">
        <f>IFERROR((1-I269/I268),0)</f>
        <v>0</v>
      </c>
      <c r="J270" s="10">
        <f>IFERROR((1-J269/J268),0)</f>
        <v>0</v>
      </c>
      <c r="K270" s="10">
        <f>IFERROR((1-K269/K268),0)</f>
        <v>0</v>
      </c>
      <c r="L270" s="10">
        <f>IFERROR((1-L269/L268),0)</f>
        <v>0</v>
      </c>
      <c r="M270" s="10">
        <f>IFERROR((1-M269/M268),0)</f>
        <v>0</v>
      </c>
      <c r="N270" s="10">
        <f>IFERROR((1-N269/N268),0)</f>
        <v>0</v>
      </c>
      <c r="O270" s="10">
        <f>IFERROR((1-O269/O268),0)</f>
        <v>0</v>
      </c>
      <c r="P270" s="10">
        <f>IFERROR((1-P269/P268),0)</f>
        <v>0</v>
      </c>
      <c r="Q270" s="10">
        <f>IFERROR((1-Q269/Q268),0)</f>
        <v>0</v>
      </c>
      <c r="S270" s="28"/>
      <c r="T270" s="28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x14ac:dyDescent="0.3">
      <c r="A271" s="70"/>
      <c r="B271" s="70"/>
      <c r="C271" s="70"/>
      <c r="E271" s="5" t="s">
        <v>3</v>
      </c>
      <c r="F271" s="76">
        <v>0</v>
      </c>
      <c r="G271" s="8">
        <v>0</v>
      </c>
      <c r="H271" s="8">
        <v>0</v>
      </c>
      <c r="I271" s="8">
        <v>0</v>
      </c>
      <c r="J271" s="8">
        <v>0</v>
      </c>
      <c r="K271" s="8">
        <v>0</v>
      </c>
      <c r="L271" s="8">
        <v>16</v>
      </c>
      <c r="M271" s="8">
        <v>406</v>
      </c>
      <c r="N271" s="8">
        <v>3</v>
      </c>
      <c r="O271" s="8">
        <v>0</v>
      </c>
      <c r="P271" s="8">
        <v>0</v>
      </c>
      <c r="Q271" s="8">
        <v>0</v>
      </c>
    </row>
    <row r="272" spans="1:107" x14ac:dyDescent="0.3">
      <c r="A272" s="70"/>
      <c r="B272" s="70"/>
      <c r="C272" s="70"/>
      <c r="E272" s="5" t="s">
        <v>2</v>
      </c>
      <c r="F272" s="75">
        <v>0</v>
      </c>
      <c r="G272" s="24">
        <f>IFERROR(G268/G257,0)</f>
        <v>0</v>
      </c>
      <c r="H272" s="24">
        <f>IFERROR(H268/H257,0)</f>
        <v>0</v>
      </c>
      <c r="I272" s="24">
        <f>IFERROR(I268/I257,0)</f>
        <v>0</v>
      </c>
      <c r="J272" s="24">
        <f>IFERROR(J268/J257,0)</f>
        <v>0</v>
      </c>
      <c r="K272" s="24">
        <f>IFERROR(K268/K257,0)</f>
        <v>0</v>
      </c>
      <c r="L272" s="24">
        <f>IFERROR(L268/L257,0)</f>
        <v>0</v>
      </c>
      <c r="M272" s="24">
        <f>IFERROR(M268/M257,0)</f>
        <v>0</v>
      </c>
      <c r="N272" s="24">
        <f>IFERROR(N268/N257,0)</f>
        <v>0</v>
      </c>
      <c r="O272" s="24">
        <f>IFERROR(O268/O257,0)</f>
        <v>0</v>
      </c>
      <c r="P272" s="24">
        <f>IFERROR(P268/P257,0)</f>
        <v>0</v>
      </c>
      <c r="Q272" s="24">
        <f>IFERROR(Q268/Q257,0)</f>
        <v>0</v>
      </c>
    </row>
    <row r="273" spans="1:107" x14ac:dyDescent="0.3">
      <c r="A273" s="70"/>
      <c r="B273" s="70"/>
      <c r="C273" s="70"/>
      <c r="E273" s="5" t="s">
        <v>1</v>
      </c>
      <c r="F273" s="56">
        <v>0</v>
      </c>
      <c r="G273" s="56">
        <v>0</v>
      </c>
      <c r="H273" s="56">
        <v>0</v>
      </c>
      <c r="I273" s="56">
        <v>0</v>
      </c>
      <c r="J273" s="56">
        <v>0</v>
      </c>
      <c r="K273" s="56">
        <v>0</v>
      </c>
      <c r="L273" s="56">
        <v>0</v>
      </c>
      <c r="M273" s="56">
        <v>0</v>
      </c>
      <c r="N273" s="56">
        <v>0</v>
      </c>
      <c r="O273" s="56">
        <v>0</v>
      </c>
      <c r="P273" s="56">
        <v>0</v>
      </c>
      <c r="Q273" s="56">
        <v>0</v>
      </c>
    </row>
    <row r="274" spans="1:107" x14ac:dyDescent="0.3">
      <c r="A274" s="70"/>
      <c r="B274" s="70"/>
      <c r="C274" s="70"/>
      <c r="E274" s="5" t="s">
        <v>0</v>
      </c>
      <c r="F274" s="56">
        <v>0</v>
      </c>
      <c r="G274" s="56">
        <v>0</v>
      </c>
      <c r="H274" s="56">
        <v>0</v>
      </c>
      <c r="I274" s="56">
        <v>0</v>
      </c>
      <c r="J274" s="56">
        <v>0</v>
      </c>
      <c r="K274" s="56">
        <v>0</v>
      </c>
      <c r="L274" s="56">
        <v>0</v>
      </c>
      <c r="M274" s="56">
        <v>0</v>
      </c>
      <c r="N274" s="56">
        <v>0</v>
      </c>
      <c r="O274" s="56">
        <v>0</v>
      </c>
      <c r="P274" s="56">
        <v>0</v>
      </c>
      <c r="Q274" s="56">
        <v>0</v>
      </c>
    </row>
    <row r="275" spans="1:107" s="2" customFormat="1" ht="4.95" customHeight="1" x14ac:dyDescent="0.3">
      <c r="F275" s="55"/>
      <c r="G275" s="55"/>
      <c r="H275" s="55"/>
      <c r="I275" s="61"/>
      <c r="J275" s="55"/>
      <c r="K275" s="60"/>
      <c r="L275" s="29"/>
      <c r="M275" s="29"/>
      <c r="N275" s="29"/>
      <c r="O275" s="29"/>
      <c r="P275" s="29"/>
      <c r="Q275" s="29"/>
      <c r="S275" s="28"/>
      <c r="T275" s="28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9F358-7570-48F9-A844-5CFD1023131A}">
  <sheetPr codeName="Planilha3">
    <tabColor theme="3" tint="-0.499984740745262"/>
  </sheetPr>
  <dimension ref="A1:DC343"/>
  <sheetViews>
    <sheetView zoomScale="90" zoomScaleNormal="90" workbookViewId="0">
      <selection activeCell="M4" sqref="M4"/>
    </sheetView>
  </sheetViews>
  <sheetFormatPr defaultColWidth="9.33203125" defaultRowHeight="14.4" x14ac:dyDescent="0.3"/>
  <cols>
    <col min="1" max="2" width="9.33203125" style="1"/>
    <col min="3" max="3" width="12.6640625" style="1" customWidth="1"/>
    <col min="4" max="4" width="0.88671875" style="2" customWidth="1"/>
    <col min="5" max="5" width="30.109375" style="1" bestFit="1" customWidth="1"/>
    <col min="6" max="9" width="15.44140625" style="1" customWidth="1"/>
    <col min="10" max="10" width="14.109375" style="1" customWidth="1"/>
    <col min="11" max="12" width="15.5546875" style="1" customWidth="1"/>
    <col min="13" max="13" width="18" style="1" customWidth="1"/>
    <col min="14" max="14" width="16.6640625" style="1" customWidth="1"/>
    <col min="15" max="15" width="15.5546875" style="1" customWidth="1"/>
    <col min="16" max="16" width="15.109375" style="1" customWidth="1"/>
    <col min="17" max="17" width="14.88671875" style="1" bestFit="1" customWidth="1"/>
    <col min="18" max="18" width="0.88671875" style="2" customWidth="1"/>
    <col min="19" max="20" width="13.88671875" style="28" bestFit="1" customWidth="1"/>
    <col min="21" max="107" width="13.88671875" style="1" bestFit="1" customWidth="1"/>
    <col min="108" max="16384" width="9.33203125" style="1"/>
  </cols>
  <sheetData>
    <row r="1" spans="1:20" s="28" customFormat="1" x14ac:dyDescent="0.3">
      <c r="D1" s="2"/>
      <c r="E1" s="1"/>
      <c r="F1" s="1"/>
      <c r="G1" s="1"/>
      <c r="H1" s="1"/>
      <c r="I1" s="1"/>
      <c r="J1" s="1"/>
      <c r="K1" s="1"/>
      <c r="L1" s="1"/>
      <c r="M1" s="1"/>
      <c r="N1" s="1"/>
      <c r="R1" s="2"/>
    </row>
    <row r="2" spans="1:20" s="28" customFormat="1" x14ac:dyDescent="0.3">
      <c r="D2" s="2"/>
      <c r="E2" s="1"/>
      <c r="F2" s="1"/>
      <c r="G2" s="1"/>
      <c r="H2" s="1"/>
      <c r="I2" s="1"/>
      <c r="J2" s="1"/>
      <c r="K2" s="1"/>
      <c r="L2" s="1"/>
      <c r="M2" s="1"/>
      <c r="N2" s="1"/>
      <c r="R2" s="2"/>
    </row>
    <row r="3" spans="1:20" s="28" customFormat="1" x14ac:dyDescent="0.3">
      <c r="D3" s="2"/>
      <c r="E3" s="1"/>
      <c r="F3" s="1"/>
      <c r="G3" s="1"/>
      <c r="H3" s="1"/>
      <c r="I3" s="1"/>
      <c r="J3" s="1"/>
      <c r="K3" s="1"/>
      <c r="L3" s="1"/>
      <c r="M3" s="1"/>
      <c r="N3" s="1"/>
      <c r="R3" s="2"/>
    </row>
    <row r="4" spans="1:20" s="28" customFormat="1" x14ac:dyDescent="0.3">
      <c r="D4" s="2"/>
      <c r="E4" s="1"/>
      <c r="F4" s="1"/>
      <c r="G4" s="1"/>
      <c r="H4" s="1"/>
      <c r="I4" s="1"/>
      <c r="J4" s="1"/>
      <c r="K4" s="1"/>
      <c r="L4" s="1"/>
      <c r="M4" s="1"/>
      <c r="N4" s="1"/>
      <c r="R4" s="2"/>
    </row>
    <row r="5" spans="1:20" s="28" customFormat="1" x14ac:dyDescent="0.3">
      <c r="D5" s="2"/>
      <c r="E5" s="1"/>
      <c r="F5" s="1"/>
      <c r="G5" s="1"/>
      <c r="H5" s="1"/>
      <c r="I5" s="1"/>
      <c r="J5" s="1"/>
      <c r="K5" s="1"/>
      <c r="L5" s="1"/>
      <c r="M5" s="1"/>
      <c r="N5" s="1"/>
      <c r="R5" s="2"/>
    </row>
    <row r="6" spans="1:20" s="28" customFormat="1" x14ac:dyDescent="0.3">
      <c r="D6" s="2"/>
      <c r="E6" s="1"/>
      <c r="F6" s="1"/>
      <c r="G6" s="1"/>
      <c r="H6" s="1"/>
      <c r="I6" s="1"/>
      <c r="J6" s="1"/>
      <c r="K6" s="1"/>
      <c r="L6" s="1"/>
      <c r="M6" s="1"/>
      <c r="N6" s="1"/>
      <c r="R6" s="2"/>
    </row>
    <row r="7" spans="1:20" s="28" customFormat="1" x14ac:dyDescent="0.3">
      <c r="D7" s="2"/>
      <c r="E7" s="1"/>
      <c r="F7" s="1"/>
      <c r="G7" s="1"/>
      <c r="H7" s="1"/>
      <c r="I7" s="1"/>
      <c r="J7" s="1"/>
      <c r="K7" s="1"/>
      <c r="L7" s="1"/>
      <c r="M7" s="1"/>
      <c r="N7" s="1"/>
      <c r="R7" s="2"/>
    </row>
    <row r="8" spans="1:20" s="28" customFormat="1" x14ac:dyDescent="0.3">
      <c r="D8" s="2"/>
      <c r="E8" s="1"/>
      <c r="F8" s="1"/>
      <c r="G8" s="1"/>
      <c r="H8" s="1"/>
      <c r="I8" s="1"/>
      <c r="J8" s="1"/>
      <c r="K8" s="1"/>
      <c r="L8" s="1"/>
      <c r="M8" s="1"/>
      <c r="N8" s="1"/>
      <c r="R8" s="2"/>
    </row>
    <row r="9" spans="1:20" ht="3" customHeight="1" x14ac:dyDescent="0.3">
      <c r="A9" s="2"/>
      <c r="B9" s="2"/>
      <c r="C9" s="2"/>
      <c r="E9" s="29"/>
      <c r="F9" s="30"/>
      <c r="G9" s="29"/>
      <c r="H9" s="29"/>
      <c r="I9" s="29"/>
      <c r="J9" s="29"/>
      <c r="K9" s="29"/>
      <c r="L9" s="29"/>
      <c r="M9" s="2"/>
      <c r="N9" s="2"/>
      <c r="O9" s="2"/>
      <c r="P9" s="2"/>
      <c r="Q9" s="2"/>
    </row>
    <row r="10" spans="1:20" x14ac:dyDescent="0.3">
      <c r="E10" s="54" t="s">
        <v>33</v>
      </c>
      <c r="F10" s="54" t="s">
        <v>32</v>
      </c>
      <c r="G10" s="54" t="s">
        <v>31</v>
      </c>
      <c r="H10" s="54" t="s">
        <v>30</v>
      </c>
      <c r="I10" s="54" t="s">
        <v>29</v>
      </c>
      <c r="J10" s="54" t="s">
        <v>28</v>
      </c>
      <c r="K10" s="54" t="s">
        <v>27</v>
      </c>
      <c r="L10" s="54" t="s">
        <v>26</v>
      </c>
      <c r="M10" s="54" t="s">
        <v>25</v>
      </c>
      <c r="N10" s="54" t="s">
        <v>24</v>
      </c>
      <c r="O10" s="54" t="s">
        <v>23</v>
      </c>
      <c r="P10" s="54" t="s">
        <v>22</v>
      </c>
      <c r="Q10" s="54" t="s">
        <v>21</v>
      </c>
    </row>
    <row r="11" spans="1:20" s="70" customFormat="1" hidden="1" x14ac:dyDescent="0.3">
      <c r="E11" s="72"/>
      <c r="F11" s="73">
        <v>67796</v>
      </c>
      <c r="G11" s="73">
        <v>20173</v>
      </c>
      <c r="H11" s="73">
        <f>G14-H17+H28</f>
        <v>9744</v>
      </c>
      <c r="I11" s="73">
        <f>H14-I17+I28</f>
        <v>9002</v>
      </c>
      <c r="J11" s="73">
        <f>I14-J17+J28</f>
        <v>8712</v>
      </c>
      <c r="K11" s="73">
        <f>J14-K17+K28</f>
        <v>8406</v>
      </c>
      <c r="L11" s="73">
        <f>K14-L17+L28</f>
        <v>7993</v>
      </c>
      <c r="M11" s="73">
        <f>L14-M17+M28</f>
        <v>7601</v>
      </c>
      <c r="N11" s="73">
        <f>M14-N17+N28</f>
        <v>7062</v>
      </c>
      <c r="O11" s="73">
        <f>N14-O17+O28</f>
        <v>6502</v>
      </c>
      <c r="P11" s="73">
        <f>O14-P17+P28</f>
        <v>6091</v>
      </c>
      <c r="Q11" s="72"/>
      <c r="S11" s="71"/>
      <c r="T11" s="71"/>
    </row>
    <row r="12" spans="1:20" s="70" customFormat="1" hidden="1" x14ac:dyDescent="0.3">
      <c r="E12" s="72"/>
      <c r="F12" s="73">
        <f>F14-F11</f>
        <v>-57287</v>
      </c>
      <c r="G12" s="73">
        <v>0</v>
      </c>
      <c r="H12" s="73">
        <f>H14-H11</f>
        <v>-23</v>
      </c>
      <c r="I12" s="73">
        <f>I14-I11</f>
        <v>-14</v>
      </c>
      <c r="J12" s="73">
        <f>J14-J11</f>
        <v>-12</v>
      </c>
      <c r="K12" s="73">
        <f>K14-K11</f>
        <v>2</v>
      </c>
      <c r="L12" s="73">
        <f>L14-L11</f>
        <v>-50</v>
      </c>
      <c r="M12" s="73">
        <f>M14-M11</f>
        <v>-49</v>
      </c>
      <c r="N12" s="73">
        <f>N14-N11</f>
        <v>-47</v>
      </c>
      <c r="O12" s="73">
        <f>O14-O11</f>
        <v>-9</v>
      </c>
      <c r="P12" s="73">
        <f>P14-P11</f>
        <v>-39</v>
      </c>
      <c r="Q12" s="72"/>
      <c r="S12" s="71"/>
      <c r="T12" s="71"/>
    </row>
    <row r="13" spans="1:20" x14ac:dyDescent="0.3">
      <c r="E13" s="5" t="s">
        <v>20</v>
      </c>
      <c r="F13" s="8">
        <v>0</v>
      </c>
      <c r="G13" s="81">
        <v>0</v>
      </c>
      <c r="H13" s="81">
        <v>0</v>
      </c>
      <c r="I13" s="81">
        <v>0</v>
      </c>
      <c r="J13" s="81">
        <v>0</v>
      </c>
      <c r="K13" s="81">
        <v>0</v>
      </c>
      <c r="L13" s="81">
        <v>0</v>
      </c>
      <c r="M13" s="81">
        <v>0</v>
      </c>
      <c r="N13" s="81">
        <v>0</v>
      </c>
      <c r="O13" s="81">
        <v>0</v>
      </c>
      <c r="P13" s="81">
        <v>0</v>
      </c>
      <c r="Q13" s="81">
        <v>0</v>
      </c>
    </row>
    <row r="14" spans="1:20" x14ac:dyDescent="0.3">
      <c r="E14" s="5" t="s">
        <v>19</v>
      </c>
      <c r="F14" s="8">
        <f>SUM(F15:F16)</f>
        <v>10509</v>
      </c>
      <c r="G14" s="8">
        <f>SUM(G15:G16)</f>
        <v>10127</v>
      </c>
      <c r="H14" s="8">
        <f>SUM(H15:H16)</f>
        <v>9721</v>
      </c>
      <c r="I14" s="8">
        <f>SUM(I15:I16)</f>
        <v>8988</v>
      </c>
      <c r="J14" s="8">
        <f>SUM(J15:J16)</f>
        <v>8700</v>
      </c>
      <c r="K14" s="8">
        <v>8408</v>
      </c>
      <c r="L14" s="8">
        <f>SUM(L15:L16)</f>
        <v>7943</v>
      </c>
      <c r="M14" s="8">
        <f>SUM(M15:M16)</f>
        <v>7552</v>
      </c>
      <c r="N14" s="8">
        <f>SUM(N15:N16)</f>
        <v>7015</v>
      </c>
      <c r="O14" s="8">
        <f>SUM(O15:O16)</f>
        <v>6493</v>
      </c>
      <c r="P14" s="8">
        <f>SUM(P15:P16)</f>
        <v>6052</v>
      </c>
      <c r="Q14" s="8">
        <f>SUM(Q15:Q16)</f>
        <v>5728</v>
      </c>
    </row>
    <row r="15" spans="1:20" x14ac:dyDescent="0.3">
      <c r="E15" s="14" t="s">
        <v>41</v>
      </c>
      <c r="F15" s="8">
        <v>774</v>
      </c>
      <c r="G15" s="81">
        <v>728</v>
      </c>
      <c r="H15" s="81">
        <v>700</v>
      </c>
      <c r="I15" s="81">
        <v>680</v>
      </c>
      <c r="J15" s="81">
        <v>667</v>
      </c>
      <c r="K15" s="81">
        <v>644</v>
      </c>
      <c r="L15" s="81">
        <v>629</v>
      </c>
      <c r="M15" s="81">
        <v>602</v>
      </c>
      <c r="N15" s="81">
        <v>573</v>
      </c>
      <c r="O15" s="81">
        <v>532</v>
      </c>
      <c r="P15" s="81">
        <v>510</v>
      </c>
      <c r="Q15" s="81">
        <v>497</v>
      </c>
    </row>
    <row r="16" spans="1:20" x14ac:dyDescent="0.3">
      <c r="E16" s="14" t="s">
        <v>40</v>
      </c>
      <c r="F16" s="8">
        <v>9735</v>
      </c>
      <c r="G16" s="81">
        <v>9399</v>
      </c>
      <c r="H16" s="81">
        <v>9021</v>
      </c>
      <c r="I16" s="81">
        <v>8308</v>
      </c>
      <c r="J16" s="81">
        <v>8033</v>
      </c>
      <c r="K16" s="81">
        <v>7764</v>
      </c>
      <c r="L16" s="81">
        <v>7314</v>
      </c>
      <c r="M16" s="81">
        <v>6950</v>
      </c>
      <c r="N16" s="81">
        <v>6442</v>
      </c>
      <c r="O16" s="81">
        <v>5961</v>
      </c>
      <c r="P16" s="81">
        <v>5542</v>
      </c>
      <c r="Q16" s="81">
        <v>5231</v>
      </c>
    </row>
    <row r="17" spans="1:107" x14ac:dyDescent="0.3">
      <c r="E17" s="5" t="s">
        <v>39</v>
      </c>
      <c r="F17" s="8">
        <f>SUM(F20:F24)</f>
        <v>377</v>
      </c>
      <c r="G17" s="8">
        <f>SUM(G20:G24)</f>
        <v>373</v>
      </c>
      <c r="H17" s="8">
        <f>SUM(H20:H24)</f>
        <v>386</v>
      </c>
      <c r="I17" s="8">
        <f>SUM(I20:I24)</f>
        <v>719</v>
      </c>
      <c r="J17" s="8">
        <f>SUM(J20:J24)</f>
        <v>276</v>
      </c>
      <c r="K17" s="8">
        <v>294</v>
      </c>
      <c r="L17" s="8">
        <f>SUM(L20:L24)</f>
        <v>415</v>
      </c>
      <c r="M17" s="8">
        <f>SUM(M20:M24)</f>
        <v>342</v>
      </c>
      <c r="N17" s="8">
        <f>SUM(N20:N24)</f>
        <v>490</v>
      </c>
      <c r="O17" s="8">
        <f>SUM(O20:O24)</f>
        <v>513</v>
      </c>
      <c r="P17" s="8">
        <f>SUM(P20:P24)</f>
        <v>402</v>
      </c>
      <c r="Q17" s="8">
        <f>SUM(Q20:Q24)</f>
        <v>296</v>
      </c>
      <c r="T17" s="84"/>
    </row>
    <row r="18" spans="1:107" x14ac:dyDescent="0.3">
      <c r="E18" s="5" t="s">
        <v>15</v>
      </c>
      <c r="F18" s="8">
        <v>262</v>
      </c>
      <c r="G18" s="81">
        <v>213</v>
      </c>
      <c r="H18" s="81">
        <v>378</v>
      </c>
      <c r="I18" s="81">
        <v>176</v>
      </c>
      <c r="J18" s="81">
        <v>176</v>
      </c>
      <c r="K18" s="81">
        <v>367</v>
      </c>
      <c r="L18" s="81">
        <v>257</v>
      </c>
      <c r="M18" s="81">
        <v>193</v>
      </c>
      <c r="N18" s="81">
        <v>202</v>
      </c>
      <c r="O18" s="81">
        <v>163</v>
      </c>
      <c r="P18" s="81">
        <v>86</v>
      </c>
      <c r="Q18" s="81">
        <v>87</v>
      </c>
    </row>
    <row r="19" spans="1:107" x14ac:dyDescent="0.3">
      <c r="E19" s="5" t="s">
        <v>14</v>
      </c>
      <c r="F19" s="10">
        <f>IFERROR(F17/'Relatório Indicadores 24'!Q14,0)</f>
        <v>3.4536460241846832E-2</v>
      </c>
      <c r="G19" s="10">
        <f>IFERROR(G17/F14,0)</f>
        <v>3.5493386620991531E-2</v>
      </c>
      <c r="H19" s="10">
        <f>IFERROR(H17/G14,0)</f>
        <v>3.8115927717981633E-2</v>
      </c>
      <c r="I19" s="10">
        <f>IFERROR((I17-333)/H14,0)</f>
        <v>3.9707848986729757E-2</v>
      </c>
      <c r="J19" s="10">
        <f>IFERROR(J17/I14,0)</f>
        <v>3.0707610146862484E-2</v>
      </c>
      <c r="K19" s="10">
        <v>3.3793103448275859E-2</v>
      </c>
      <c r="L19" s="10">
        <f>IFERROR(L17/K14,0)</f>
        <v>4.9357754519505234E-2</v>
      </c>
      <c r="M19" s="10">
        <f>IFERROR(M17/L14,0)</f>
        <v>4.3056779554324562E-2</v>
      </c>
      <c r="N19" s="10">
        <f>IFERROR(N17/M14,0)</f>
        <v>6.488347457627118E-2</v>
      </c>
      <c r="O19" s="10">
        <f>IFERROR(O17/N14,0)</f>
        <v>7.3129009265858871E-2</v>
      </c>
      <c r="P19" s="10">
        <f>IFERROR(P17/O14,0)</f>
        <v>6.1912829200677651E-2</v>
      </c>
      <c r="Q19" s="10">
        <f>IFERROR(Q17/P14,0)</f>
        <v>4.8909451421017845E-2</v>
      </c>
    </row>
    <row r="20" spans="1:107" x14ac:dyDescent="0.3">
      <c r="E20" s="5" t="s">
        <v>13</v>
      </c>
      <c r="F20" s="8">
        <v>66</v>
      </c>
      <c r="G20" s="81">
        <v>54</v>
      </c>
      <c r="H20" s="81">
        <v>56</v>
      </c>
      <c r="I20" s="81">
        <v>52</v>
      </c>
      <c r="J20" s="81">
        <v>47</v>
      </c>
      <c r="K20" s="81">
        <v>54</v>
      </c>
      <c r="L20" s="81">
        <v>35</v>
      </c>
      <c r="M20" s="81">
        <v>41</v>
      </c>
      <c r="N20" s="81">
        <v>63</v>
      </c>
      <c r="O20" s="81">
        <v>37</v>
      </c>
      <c r="P20" s="81">
        <v>48</v>
      </c>
      <c r="Q20" s="81">
        <v>26</v>
      </c>
    </row>
    <row r="21" spans="1:107" x14ac:dyDescent="0.3">
      <c r="E21" s="5" t="s">
        <v>12</v>
      </c>
      <c r="F21" s="8">
        <v>291</v>
      </c>
      <c r="G21" s="81">
        <v>306</v>
      </c>
      <c r="H21" s="81">
        <v>313</v>
      </c>
      <c r="I21" s="81">
        <v>285</v>
      </c>
      <c r="J21" s="81">
        <v>205</v>
      </c>
      <c r="K21" s="81">
        <v>215</v>
      </c>
      <c r="L21" s="81">
        <v>346</v>
      </c>
      <c r="M21" s="81">
        <v>245</v>
      </c>
      <c r="N21" s="81">
        <v>359</v>
      </c>
      <c r="O21" s="81">
        <v>422</v>
      </c>
      <c r="P21" s="81">
        <v>277</v>
      </c>
      <c r="Q21" s="81">
        <v>222</v>
      </c>
    </row>
    <row r="22" spans="1:107" x14ac:dyDescent="0.3">
      <c r="E22" s="5" t="s">
        <v>11</v>
      </c>
      <c r="F22" s="8">
        <v>15</v>
      </c>
      <c r="G22" s="81">
        <v>9</v>
      </c>
      <c r="H22" s="81">
        <v>12</v>
      </c>
      <c r="I22" s="81">
        <v>31</v>
      </c>
      <c r="J22" s="81">
        <v>14</v>
      </c>
      <c r="K22" s="81">
        <v>20</v>
      </c>
      <c r="L22" s="81">
        <v>29</v>
      </c>
      <c r="M22" s="81">
        <v>55</v>
      </c>
      <c r="N22" s="81">
        <v>65</v>
      </c>
      <c r="O22" s="81">
        <v>48</v>
      </c>
      <c r="P22" s="81">
        <v>74</v>
      </c>
      <c r="Q22" s="81">
        <v>45</v>
      </c>
    </row>
    <row r="23" spans="1:107" s="2" customFormat="1" x14ac:dyDescent="0.3">
      <c r="A23" s="1"/>
      <c r="B23" s="1"/>
      <c r="C23" s="1"/>
      <c r="E23" s="5" t="s">
        <v>50</v>
      </c>
      <c r="F23" s="42">
        <v>4</v>
      </c>
      <c r="G23" s="83">
        <v>3</v>
      </c>
      <c r="H23" s="83">
        <v>2</v>
      </c>
      <c r="I23" s="83">
        <v>7</v>
      </c>
      <c r="J23" s="83">
        <v>10</v>
      </c>
      <c r="K23" s="83">
        <v>4</v>
      </c>
      <c r="L23" s="83">
        <v>3</v>
      </c>
      <c r="M23" s="83">
        <v>1</v>
      </c>
      <c r="N23" s="83">
        <v>2</v>
      </c>
      <c r="O23" s="83">
        <v>5</v>
      </c>
      <c r="P23" s="83">
        <v>1</v>
      </c>
      <c r="Q23" s="83">
        <v>3</v>
      </c>
      <c r="S23" s="28"/>
      <c r="T23" s="28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</row>
    <row r="24" spans="1:107" s="2" customFormat="1" x14ac:dyDescent="0.3">
      <c r="A24" s="1"/>
      <c r="B24" s="1"/>
      <c r="C24" s="1"/>
      <c r="E24" s="5" t="s">
        <v>46</v>
      </c>
      <c r="F24" s="42">
        <v>1</v>
      </c>
      <c r="G24" s="83">
        <v>1</v>
      </c>
      <c r="H24" s="83">
        <v>3</v>
      </c>
      <c r="I24" s="83">
        <v>344</v>
      </c>
      <c r="J24" s="83">
        <v>0</v>
      </c>
      <c r="K24" s="83">
        <v>1</v>
      </c>
      <c r="L24" s="83">
        <v>2</v>
      </c>
      <c r="M24" s="83">
        <v>0</v>
      </c>
      <c r="N24" s="83">
        <v>1</v>
      </c>
      <c r="O24" s="83">
        <v>1</v>
      </c>
      <c r="P24" s="83">
        <v>2</v>
      </c>
      <c r="Q24" s="83">
        <v>0</v>
      </c>
      <c r="S24" s="28"/>
      <c r="T24" s="28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</row>
    <row r="25" spans="1:107" s="2" customFormat="1" x14ac:dyDescent="0.3">
      <c r="A25" s="1"/>
      <c r="B25" s="1"/>
      <c r="C25" s="1"/>
      <c r="E25" s="5" t="s">
        <v>6</v>
      </c>
      <c r="F25" s="23">
        <v>13736662.200000081</v>
      </c>
      <c r="G25" s="23">
        <v>13238552.28000005</v>
      </c>
      <c r="H25" s="23">
        <v>13162981.630000126</v>
      </c>
      <c r="I25" s="23">
        <v>12379630.440000104</v>
      </c>
      <c r="J25" s="23">
        <v>11969434.340000095</v>
      </c>
      <c r="K25" s="23">
        <v>11591490.230000092</v>
      </c>
      <c r="L25" s="23">
        <v>11838451.740000114</v>
      </c>
      <c r="M25" s="23">
        <v>11179718.170000093</v>
      </c>
      <c r="N25" s="23">
        <v>10395755.34000008</v>
      </c>
      <c r="O25" s="23">
        <v>9774591.43000005</v>
      </c>
      <c r="P25" s="23">
        <v>9113933.469999982</v>
      </c>
      <c r="Q25" s="23">
        <v>8584005.3300000131</v>
      </c>
      <c r="S25" s="28"/>
      <c r="T25" s="28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</row>
    <row r="26" spans="1:107" s="2" customFormat="1" x14ac:dyDescent="0.3">
      <c r="A26" s="1"/>
      <c r="B26" s="1"/>
      <c r="C26" s="1"/>
      <c r="E26" s="5" t="s">
        <v>5</v>
      </c>
      <c r="F26" s="23">
        <v>12590543.980000081</v>
      </c>
      <c r="G26" s="23">
        <v>12052757.390000049</v>
      </c>
      <c r="H26" s="23">
        <v>12024622.950000126</v>
      </c>
      <c r="I26" s="23">
        <v>11440533.650000103</v>
      </c>
      <c r="J26" s="23">
        <v>11177452.300000094</v>
      </c>
      <c r="K26" s="23">
        <v>10730405.870000092</v>
      </c>
      <c r="L26" s="23">
        <v>11027552.790000115</v>
      </c>
      <c r="M26" s="23">
        <v>10379717.230000092</v>
      </c>
      <c r="N26" s="23">
        <v>9652394.8700000793</v>
      </c>
      <c r="O26" s="23">
        <v>8998008.6200000495</v>
      </c>
      <c r="P26" s="23">
        <v>8379575.6699999822</v>
      </c>
      <c r="Q26" s="23">
        <v>7959330.7000000132</v>
      </c>
      <c r="S26" s="28"/>
      <c r="T26" s="28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</row>
    <row r="27" spans="1:107" s="2" customFormat="1" x14ac:dyDescent="0.3">
      <c r="A27" s="1"/>
      <c r="B27" s="1"/>
      <c r="C27" s="1"/>
      <c r="E27" s="5" t="s">
        <v>49</v>
      </c>
      <c r="F27" s="10">
        <f>IFERROR((1-F26/F25),0)</f>
        <v>8.3434986120572541E-2</v>
      </c>
      <c r="G27" s="10">
        <f>IFERROR((1-G26/G25),0)</f>
        <v>8.9571341708671759E-2</v>
      </c>
      <c r="H27" s="10">
        <f>IFERROR((1-H26/H25),0)</f>
        <v>8.6481825470722695E-2</v>
      </c>
      <c r="I27" s="10">
        <f>IFERROR((1-I26/I25),0)</f>
        <v>7.5858224892211945E-2</v>
      </c>
      <c r="J27" s="10">
        <f>IFERROR((1-J26/J25),0)</f>
        <v>6.6167039937159999E-2</v>
      </c>
      <c r="K27" s="10">
        <v>7.4285906549911518E-2</v>
      </c>
      <c r="L27" s="10">
        <f>IFERROR((1-L26/L25),0)</f>
        <v>6.849704402308876E-2</v>
      </c>
      <c r="M27" s="10">
        <f>IFERROR((1-M26/M25),0)</f>
        <v>7.1558238574094046E-2</v>
      </c>
      <c r="N27" s="10">
        <f>IFERROR((1-N26/N25),0)</f>
        <v>7.1506152817943813E-2</v>
      </c>
      <c r="O27" s="10">
        <f>IFERROR((1-O26/O25),0)</f>
        <v>7.9449132535250766E-2</v>
      </c>
      <c r="P27" s="10">
        <f>IFERROR((1-P26/P25),0)</f>
        <v>8.0575286446544769E-2</v>
      </c>
      <c r="Q27" s="10">
        <f>IFERROR((1-Q26/Q25),0)</f>
        <v>7.2771929418175119E-2</v>
      </c>
      <c r="S27" s="28"/>
      <c r="T27" s="28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</row>
    <row r="28" spans="1:107" s="2" customFormat="1" x14ac:dyDescent="0.3">
      <c r="A28" s="1"/>
      <c r="B28" s="1"/>
      <c r="C28" s="1"/>
      <c r="E28" s="5" t="s">
        <v>3</v>
      </c>
      <c r="F28" s="8">
        <v>0</v>
      </c>
      <c r="G28" s="8">
        <v>3</v>
      </c>
      <c r="H28" s="8">
        <v>3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S28" s="28"/>
      <c r="T28" s="28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</row>
    <row r="29" spans="1:107" s="2" customFormat="1" x14ac:dyDescent="0.3">
      <c r="A29" s="1"/>
      <c r="B29" s="1"/>
      <c r="C29" s="1"/>
      <c r="E29" s="5" t="s">
        <v>2</v>
      </c>
      <c r="F29" s="24">
        <f>IFERROR(F25/F14,0)</f>
        <v>1307.1331430202761</v>
      </c>
      <c r="G29" s="24">
        <f>IFERROR(G25/G14,0)</f>
        <v>1307.2531134590747</v>
      </c>
      <c r="H29" s="24">
        <f>IFERROR(H25/H14,0)</f>
        <v>1354.0769087542562</v>
      </c>
      <c r="I29" s="24">
        <f>IFERROR(I25/I14,0)</f>
        <v>1377.3509612817204</v>
      </c>
      <c r="J29" s="24">
        <f>IFERROR(J25/J14,0)</f>
        <v>1375.7970505747235</v>
      </c>
      <c r="K29" s="24">
        <v>1378.6263356327415</v>
      </c>
      <c r="L29" s="24">
        <f>IFERROR(L25/L14,0)</f>
        <v>1490.4257509757163</v>
      </c>
      <c r="M29" s="24">
        <f>IFERROR(M25/M14,0)</f>
        <v>1480.3652237817919</v>
      </c>
      <c r="N29" s="24">
        <f>IFERROR(N25/N14,0)</f>
        <v>1481.9323364219645</v>
      </c>
      <c r="O29" s="24">
        <f>IFERROR(O25/O14,0)</f>
        <v>1505.4045017711458</v>
      </c>
      <c r="P29" s="24">
        <f>IFERROR(P25/P14,0)</f>
        <v>1505.9374537342997</v>
      </c>
      <c r="Q29" s="24">
        <f>IFERROR(Q25/Q14,0)</f>
        <v>1498.6042824720694</v>
      </c>
      <c r="S29" s="28"/>
      <c r="T29" s="28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</row>
    <row r="30" spans="1:107" s="2" customFormat="1" x14ac:dyDescent="0.3">
      <c r="A30" s="1"/>
      <c r="B30" s="1"/>
      <c r="C30" s="1"/>
      <c r="E30" s="5" t="s">
        <v>1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S30" s="28"/>
      <c r="T30" s="28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 s="2" customFormat="1" x14ac:dyDescent="0.3">
      <c r="A31" s="1"/>
      <c r="B31" s="1"/>
      <c r="C31" s="1"/>
      <c r="E31" s="5" t="s">
        <v>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S31" s="28"/>
      <c r="T31" s="28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 s="2" customFormat="1" ht="1.95" customHeight="1" x14ac:dyDescent="0.3">
      <c r="F32" s="55"/>
      <c r="G32" s="55"/>
      <c r="H32" s="55"/>
      <c r="I32" s="61"/>
      <c r="J32" s="55"/>
      <c r="K32" s="60"/>
      <c r="L32" s="29"/>
      <c r="M32" s="29"/>
      <c r="N32" s="29"/>
      <c r="O32" s="29"/>
      <c r="P32" s="29"/>
      <c r="Q32" s="29"/>
      <c r="S32" s="28"/>
      <c r="T32" s="28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 s="2" customFormat="1" hidden="1" x14ac:dyDescent="0.3">
      <c r="F33" s="55">
        <v>10698</v>
      </c>
      <c r="G33" s="55">
        <v>10487</v>
      </c>
      <c r="H33" s="55">
        <f>G37-H40+H51</f>
        <v>7095</v>
      </c>
      <c r="I33" s="55">
        <f>H37-I40+I51</f>
        <v>6916</v>
      </c>
      <c r="J33" s="55">
        <f>I37-J40+J51</f>
        <v>6815</v>
      </c>
      <c r="K33" s="55">
        <v>6631</v>
      </c>
      <c r="L33" s="55">
        <f>K37-L40+L51</f>
        <v>6180</v>
      </c>
      <c r="M33" s="55">
        <f>L37-M40+M51</f>
        <v>5857</v>
      </c>
      <c r="N33" s="55">
        <f>M37-N40+N51</f>
        <v>5907</v>
      </c>
      <c r="O33" s="55">
        <f>N37-O40+O51</f>
        <v>5880</v>
      </c>
      <c r="P33" s="55">
        <f>O37-P40+P51</f>
        <v>5901</v>
      </c>
      <c r="Q33" s="29"/>
      <c r="S33" s="28"/>
      <c r="T33" s="28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 s="2" customFormat="1" hidden="1" x14ac:dyDescent="0.3">
      <c r="F34" s="55">
        <f>F37-F33</f>
        <v>-3116</v>
      </c>
      <c r="G34" s="55">
        <v>0</v>
      </c>
      <c r="H34" s="55">
        <f>H37-H33</f>
        <v>9</v>
      </c>
      <c r="I34" s="55">
        <f>I37-I33</f>
        <v>-3</v>
      </c>
      <c r="J34" s="55">
        <f>J37-J33</f>
        <v>5</v>
      </c>
      <c r="K34" s="55">
        <v>-3</v>
      </c>
      <c r="L34" s="55">
        <f>L37-L33</f>
        <v>-17</v>
      </c>
      <c r="M34" s="55">
        <f>M37-M33</f>
        <v>-79</v>
      </c>
      <c r="N34" s="55">
        <f>N37-N33</f>
        <v>-32</v>
      </c>
      <c r="O34" s="55">
        <f>O37-O33</f>
        <v>6</v>
      </c>
      <c r="P34" s="55">
        <f>P37-P33</f>
        <v>2</v>
      </c>
      <c r="Q34" s="29"/>
      <c r="S34" s="28"/>
      <c r="T34" s="28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  <row r="35" spans="1:107" s="2" customFormat="1" x14ac:dyDescent="0.3">
      <c r="A35" s="1"/>
      <c r="B35" s="1"/>
      <c r="C35" s="1"/>
      <c r="E35" s="54" t="s">
        <v>33</v>
      </c>
      <c r="F35" s="54" t="s">
        <v>32</v>
      </c>
      <c r="G35" s="54" t="s">
        <v>31</v>
      </c>
      <c r="H35" s="54" t="s">
        <v>30</v>
      </c>
      <c r="I35" s="54" t="s">
        <v>29</v>
      </c>
      <c r="J35" s="54" t="s">
        <v>28</v>
      </c>
      <c r="K35" s="54" t="s">
        <v>27</v>
      </c>
      <c r="L35" s="54" t="s">
        <v>26</v>
      </c>
      <c r="M35" s="54" t="s">
        <v>25</v>
      </c>
      <c r="N35" s="54" t="s">
        <v>24</v>
      </c>
      <c r="O35" s="54" t="s">
        <v>23</v>
      </c>
      <c r="P35" s="54" t="s">
        <v>22</v>
      </c>
      <c r="Q35" s="54" t="s">
        <v>21</v>
      </c>
      <c r="S35" s="28"/>
      <c r="T35" s="28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</row>
    <row r="36" spans="1:107" x14ac:dyDescent="0.3">
      <c r="E36" s="5" t="s">
        <v>20</v>
      </c>
      <c r="F36" s="8">
        <v>0</v>
      </c>
      <c r="G36" s="80">
        <v>0</v>
      </c>
      <c r="H36" s="80">
        <v>0</v>
      </c>
      <c r="I36" s="80">
        <v>0</v>
      </c>
      <c r="J36" s="80">
        <v>0</v>
      </c>
      <c r="K36" s="80">
        <v>0</v>
      </c>
      <c r="L36" s="80">
        <v>0</v>
      </c>
      <c r="M36" s="80">
        <v>0</v>
      </c>
      <c r="N36" s="80">
        <v>0</v>
      </c>
      <c r="O36" s="80">
        <v>0</v>
      </c>
      <c r="P36" s="80">
        <v>0</v>
      </c>
      <c r="Q36" s="80">
        <v>0</v>
      </c>
    </row>
    <row r="37" spans="1:107" s="2" customFormat="1" x14ac:dyDescent="0.3">
      <c r="A37" s="1"/>
      <c r="B37" s="1"/>
      <c r="C37" s="1"/>
      <c r="E37" s="5" t="s">
        <v>19</v>
      </c>
      <c r="F37" s="8">
        <f>SUM(F38:F39)</f>
        <v>7582</v>
      </c>
      <c r="G37" s="8">
        <f>SUM(G38:G39)</f>
        <v>7314</v>
      </c>
      <c r="H37" s="8">
        <f>SUM(H38:H39)</f>
        <v>7104</v>
      </c>
      <c r="I37" s="8">
        <f>SUM(I38:I39)</f>
        <v>6913</v>
      </c>
      <c r="J37" s="8">
        <f>SUM(J38:J39)</f>
        <v>6820</v>
      </c>
      <c r="K37" s="8">
        <v>6628</v>
      </c>
      <c r="L37" s="8">
        <f>SUM(L38:L39)</f>
        <v>6163</v>
      </c>
      <c r="M37" s="8">
        <f>SUM(M38:M39)</f>
        <v>5778</v>
      </c>
      <c r="N37" s="8">
        <f>SUM(N38:N39)</f>
        <v>5875</v>
      </c>
      <c r="O37" s="8">
        <f>SUM(O38:O39)</f>
        <v>5886</v>
      </c>
      <c r="P37" s="8">
        <f>SUM(P38:P39)</f>
        <v>5903</v>
      </c>
      <c r="Q37" s="8">
        <f>SUM(Q38:Q39)</f>
        <v>5862</v>
      </c>
      <c r="S37" s="28"/>
      <c r="T37" s="2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</row>
    <row r="38" spans="1:107" s="2" customFormat="1" x14ac:dyDescent="0.3">
      <c r="A38" s="1"/>
      <c r="B38" s="1"/>
      <c r="C38" s="1"/>
      <c r="E38" s="14" t="s">
        <v>41</v>
      </c>
      <c r="F38" s="8">
        <v>325</v>
      </c>
      <c r="G38" s="80">
        <v>317</v>
      </c>
      <c r="H38" s="80">
        <v>308</v>
      </c>
      <c r="I38" s="80">
        <v>301</v>
      </c>
      <c r="J38" s="80">
        <v>306</v>
      </c>
      <c r="K38" s="80">
        <v>304</v>
      </c>
      <c r="L38" s="80">
        <v>286</v>
      </c>
      <c r="M38" s="80">
        <v>275</v>
      </c>
      <c r="N38" s="80">
        <v>295</v>
      </c>
      <c r="O38" s="80">
        <v>302</v>
      </c>
      <c r="P38" s="80">
        <v>310</v>
      </c>
      <c r="Q38" s="80">
        <v>317</v>
      </c>
      <c r="S38" s="28"/>
      <c r="T38" s="2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</row>
    <row r="39" spans="1:107" s="2" customFormat="1" x14ac:dyDescent="0.3">
      <c r="A39" s="1"/>
      <c r="B39" s="1"/>
      <c r="C39" s="1"/>
      <c r="E39" s="14" t="s">
        <v>40</v>
      </c>
      <c r="F39" s="8">
        <v>7257</v>
      </c>
      <c r="G39" s="80">
        <v>6997</v>
      </c>
      <c r="H39" s="80">
        <v>6796</v>
      </c>
      <c r="I39" s="80">
        <v>6612</v>
      </c>
      <c r="J39" s="80">
        <v>6514</v>
      </c>
      <c r="K39" s="80">
        <v>6324</v>
      </c>
      <c r="L39" s="80">
        <v>5877</v>
      </c>
      <c r="M39" s="80">
        <v>5503</v>
      </c>
      <c r="N39" s="80">
        <v>5580</v>
      </c>
      <c r="O39" s="80">
        <v>5584</v>
      </c>
      <c r="P39" s="80">
        <v>5593</v>
      </c>
      <c r="Q39" s="80">
        <v>5545</v>
      </c>
      <c r="S39" s="28"/>
      <c r="T39" s="2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</row>
    <row r="40" spans="1:107" s="2" customFormat="1" x14ac:dyDescent="0.3">
      <c r="A40" s="1"/>
      <c r="B40" s="1"/>
      <c r="C40" s="1"/>
      <c r="E40" s="5" t="s">
        <v>39</v>
      </c>
      <c r="F40" s="8">
        <f>SUM(F43:F47)</f>
        <v>283</v>
      </c>
      <c r="G40" s="8">
        <f>SUM(G43:G47)</f>
        <v>338</v>
      </c>
      <c r="H40" s="8">
        <f>SUM(H43:H47)</f>
        <v>293</v>
      </c>
      <c r="I40" s="8">
        <f>SUM(I43:I47)</f>
        <v>327</v>
      </c>
      <c r="J40" s="8">
        <f>SUM(J43:J47)</f>
        <v>358</v>
      </c>
      <c r="K40" s="8">
        <v>318</v>
      </c>
      <c r="L40" s="8">
        <f>SUM(L43:L47)</f>
        <v>520</v>
      </c>
      <c r="M40" s="8">
        <f>SUM(M43:M47)</f>
        <v>462</v>
      </c>
      <c r="N40" s="8">
        <f>SUM(N43:N47)</f>
        <v>405</v>
      </c>
      <c r="O40" s="8">
        <f>SUM(O43:O47)</f>
        <v>313</v>
      </c>
      <c r="P40" s="8">
        <f>SUM(P43:P47)</f>
        <v>270</v>
      </c>
      <c r="Q40" s="8">
        <f>SUM(Q43:Q47)</f>
        <v>278</v>
      </c>
      <c r="S40" s="28"/>
      <c r="T40" s="2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</row>
    <row r="41" spans="1:107" s="2" customFormat="1" x14ac:dyDescent="0.3">
      <c r="A41" s="1"/>
      <c r="B41" s="1"/>
      <c r="C41" s="1"/>
      <c r="E41" s="5" t="s">
        <v>15</v>
      </c>
      <c r="F41" s="8">
        <v>61</v>
      </c>
      <c r="G41" s="81">
        <v>65</v>
      </c>
      <c r="H41" s="81">
        <v>60</v>
      </c>
      <c r="I41" s="81">
        <v>69</v>
      </c>
      <c r="J41" s="81">
        <v>40</v>
      </c>
      <c r="K41" s="81">
        <v>124</v>
      </c>
      <c r="L41" s="81">
        <v>128</v>
      </c>
      <c r="M41" s="81">
        <v>63</v>
      </c>
      <c r="N41" s="81">
        <v>49</v>
      </c>
      <c r="O41" s="81">
        <v>22</v>
      </c>
      <c r="P41" s="81">
        <v>51</v>
      </c>
      <c r="Q41" s="81">
        <v>8</v>
      </c>
      <c r="S41" s="28"/>
      <c r="T41" s="2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</row>
    <row r="42" spans="1:107" s="2" customFormat="1" x14ac:dyDescent="0.3">
      <c r="A42" s="1"/>
      <c r="B42" s="1"/>
      <c r="C42" s="1"/>
      <c r="E42" s="5" t="s">
        <v>14</v>
      </c>
      <c r="F42" s="10">
        <f>IFERROR(F40/'Relatório Indicadores 24'!Q37,0)</f>
        <v>3.6356628982528262E-2</v>
      </c>
      <c r="G42" s="10">
        <f>IFERROR(G40/F37,0)</f>
        <v>4.4579266684252175E-2</v>
      </c>
      <c r="H42" s="10">
        <f>IFERROR(H40/G37,0)</f>
        <v>4.0060158599945307E-2</v>
      </c>
      <c r="I42" s="10">
        <f>IFERROR(I40/H37,0)</f>
        <v>4.6030405405405407E-2</v>
      </c>
      <c r="J42" s="10">
        <f>IFERROR(J40/I37,0)</f>
        <v>5.1786489223202663E-2</v>
      </c>
      <c r="K42" s="10">
        <v>4.6627565982404695E-2</v>
      </c>
      <c r="L42" s="10">
        <f>IFERROR(L40/K37,0)</f>
        <v>7.8455039227519618E-2</v>
      </c>
      <c r="M42" s="10">
        <f>IFERROR(M40/L37,0)</f>
        <v>7.496349180593867E-2</v>
      </c>
      <c r="N42" s="10">
        <f>IFERROR(N40/M37,0)</f>
        <v>7.0093457943925228E-2</v>
      </c>
      <c r="O42" s="10">
        <f>IFERROR(O40/N37,0)</f>
        <v>5.3276595744680848E-2</v>
      </c>
      <c r="P42" s="10">
        <f>IFERROR(P40/O37,0)</f>
        <v>4.5871559633027525E-2</v>
      </c>
      <c r="Q42" s="10">
        <f>IFERROR(Q40/P37,0)</f>
        <v>4.7094697611384045E-2</v>
      </c>
      <c r="S42" s="28"/>
      <c r="T42" s="2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 spans="1:107" s="2" customFormat="1" x14ac:dyDescent="0.3">
      <c r="A43" s="1"/>
      <c r="B43" s="1"/>
      <c r="C43" s="1"/>
      <c r="E43" s="5" t="s">
        <v>13</v>
      </c>
      <c r="F43" s="8">
        <v>113</v>
      </c>
      <c r="G43" s="80">
        <v>122</v>
      </c>
      <c r="H43" s="80">
        <v>121</v>
      </c>
      <c r="I43" s="80">
        <v>133</v>
      </c>
      <c r="J43" s="80">
        <v>85</v>
      </c>
      <c r="K43" s="80">
        <v>97</v>
      </c>
      <c r="L43" s="80">
        <v>102</v>
      </c>
      <c r="M43" s="80">
        <v>110</v>
      </c>
      <c r="N43" s="80">
        <v>127</v>
      </c>
      <c r="O43" s="80">
        <v>113</v>
      </c>
      <c r="P43" s="80">
        <v>96</v>
      </c>
      <c r="Q43" s="80">
        <v>89</v>
      </c>
      <c r="S43" s="28"/>
      <c r="T43" s="2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</row>
    <row r="44" spans="1:107" s="2" customFormat="1" x14ac:dyDescent="0.3">
      <c r="A44" s="1"/>
      <c r="B44" s="1"/>
      <c r="C44" s="1"/>
      <c r="E44" s="5" t="s">
        <v>12</v>
      </c>
      <c r="F44" s="8">
        <v>147</v>
      </c>
      <c r="G44" s="80">
        <v>152</v>
      </c>
      <c r="H44" s="80">
        <v>136</v>
      </c>
      <c r="I44" s="80">
        <v>145</v>
      </c>
      <c r="J44" s="80">
        <v>220</v>
      </c>
      <c r="K44" s="80">
        <v>160</v>
      </c>
      <c r="L44" s="80">
        <v>394</v>
      </c>
      <c r="M44" s="80">
        <v>285</v>
      </c>
      <c r="N44" s="80">
        <v>236</v>
      </c>
      <c r="O44" s="80">
        <v>157</v>
      </c>
      <c r="P44" s="80">
        <v>145</v>
      </c>
      <c r="Q44" s="80">
        <v>161</v>
      </c>
      <c r="S44" s="28"/>
      <c r="T44" s="2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</row>
    <row r="45" spans="1:107" s="2" customFormat="1" x14ac:dyDescent="0.3">
      <c r="A45" s="1"/>
      <c r="B45" s="1"/>
      <c r="C45" s="1"/>
      <c r="E45" s="5" t="s">
        <v>11</v>
      </c>
      <c r="F45" s="8">
        <v>23</v>
      </c>
      <c r="G45" s="79">
        <v>58</v>
      </c>
      <c r="H45" s="79">
        <v>22</v>
      </c>
      <c r="I45" s="79">
        <v>25</v>
      </c>
      <c r="J45" s="79">
        <v>48</v>
      </c>
      <c r="K45" s="79">
        <v>50</v>
      </c>
      <c r="L45" s="79">
        <v>19</v>
      </c>
      <c r="M45" s="79">
        <v>65</v>
      </c>
      <c r="N45" s="79">
        <v>39</v>
      </c>
      <c r="O45" s="79">
        <v>39</v>
      </c>
      <c r="P45" s="79">
        <v>17</v>
      </c>
      <c r="Q45" s="79">
        <v>28</v>
      </c>
      <c r="S45" s="28"/>
      <c r="T45" s="2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</row>
    <row r="46" spans="1:107" s="2" customFormat="1" x14ac:dyDescent="0.3">
      <c r="A46" s="1"/>
      <c r="B46" s="1"/>
      <c r="C46" s="1"/>
      <c r="E46" s="5" t="s">
        <v>50</v>
      </c>
      <c r="F46" s="42">
        <v>0</v>
      </c>
      <c r="G46" s="79">
        <v>2</v>
      </c>
      <c r="H46" s="79">
        <v>0</v>
      </c>
      <c r="I46" s="79">
        <v>0</v>
      </c>
      <c r="J46" s="79">
        <v>0</v>
      </c>
      <c r="K46" s="79">
        <v>0</v>
      </c>
      <c r="L46" s="79">
        <v>0</v>
      </c>
      <c r="M46" s="79">
        <v>0</v>
      </c>
      <c r="N46" s="79">
        <v>3</v>
      </c>
      <c r="O46" s="79">
        <v>3</v>
      </c>
      <c r="P46" s="79">
        <v>1</v>
      </c>
      <c r="Q46" s="79">
        <v>0</v>
      </c>
      <c r="S46" s="28"/>
      <c r="T46" s="2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</row>
    <row r="47" spans="1:107" s="2" customFormat="1" x14ac:dyDescent="0.3">
      <c r="A47" s="1"/>
      <c r="B47" s="1"/>
      <c r="C47" s="1"/>
      <c r="E47" s="5" t="s">
        <v>46</v>
      </c>
      <c r="F47" s="42">
        <v>0</v>
      </c>
      <c r="G47" s="42">
        <v>4</v>
      </c>
      <c r="H47" s="42">
        <v>14</v>
      </c>
      <c r="I47" s="42">
        <v>24</v>
      </c>
      <c r="J47" s="42">
        <v>5</v>
      </c>
      <c r="K47" s="42">
        <v>11</v>
      </c>
      <c r="L47" s="42">
        <v>5</v>
      </c>
      <c r="M47" s="42">
        <v>2</v>
      </c>
      <c r="N47" s="42">
        <v>0</v>
      </c>
      <c r="O47" s="42">
        <v>1</v>
      </c>
      <c r="P47" s="42">
        <v>11</v>
      </c>
      <c r="Q47" s="42">
        <v>0</v>
      </c>
      <c r="S47" s="28"/>
      <c r="T47" s="2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s="2" customFormat="1" x14ac:dyDescent="0.3">
      <c r="A48" s="1"/>
      <c r="B48" s="1"/>
      <c r="C48" s="1"/>
      <c r="E48" s="5" t="s">
        <v>6</v>
      </c>
      <c r="F48" s="23">
        <v>3915907.0400000289</v>
      </c>
      <c r="G48" s="23">
        <v>3780812.5500000115</v>
      </c>
      <c r="H48" s="23">
        <v>3674762.8000000501</v>
      </c>
      <c r="I48" s="23">
        <v>3586734.3599999817</v>
      </c>
      <c r="J48" s="23">
        <v>3516427.9099999769</v>
      </c>
      <c r="K48" s="23">
        <v>3424742.5799999912</v>
      </c>
      <c r="L48" s="23">
        <v>3764841.7099999855</v>
      </c>
      <c r="M48" s="23">
        <v>3449696.8799999845</v>
      </c>
      <c r="N48" s="23">
        <v>3480852.4499999862</v>
      </c>
      <c r="O48" s="23">
        <v>3477161.8099999828</v>
      </c>
      <c r="P48" s="23">
        <v>3444912.649999971</v>
      </c>
      <c r="Q48" s="23">
        <v>3380610.359999992</v>
      </c>
      <c r="S48" s="28"/>
      <c r="T48" s="2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s="2" customFormat="1" x14ac:dyDescent="0.3">
      <c r="A49" s="1"/>
      <c r="B49" s="1"/>
      <c r="C49" s="1"/>
      <c r="E49" s="5" t="s">
        <v>5</v>
      </c>
      <c r="F49" s="23">
        <v>3522388.2000000309</v>
      </c>
      <c r="G49" s="23">
        <v>3351755.9000000129</v>
      </c>
      <c r="H49" s="23">
        <v>3333928.2300000507</v>
      </c>
      <c r="I49" s="23">
        <v>3167262.1899999822</v>
      </c>
      <c r="J49" s="23">
        <v>3165712.6999999774</v>
      </c>
      <c r="K49" s="23">
        <v>3006320.4199999929</v>
      </c>
      <c r="L49" s="23">
        <v>3355143.5399999851</v>
      </c>
      <c r="M49" s="23">
        <v>3075206.6499999841</v>
      </c>
      <c r="N49" s="23">
        <v>3132278.6799999857</v>
      </c>
      <c r="O49" s="23">
        <v>3119898.9199999827</v>
      </c>
      <c r="P49" s="23">
        <v>3045404.6599999703</v>
      </c>
      <c r="Q49" s="23">
        <v>3037732.7499999912</v>
      </c>
      <c r="S49" s="28"/>
      <c r="T49" s="2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s="2" customFormat="1" x14ac:dyDescent="0.3">
      <c r="A50" s="1"/>
      <c r="B50" s="1"/>
      <c r="C50" s="1"/>
      <c r="E50" s="5" t="s">
        <v>49</v>
      </c>
      <c r="F50" s="10">
        <f>IFERROR((1-F49/F48),0)</f>
        <v>0.10049238553936535</v>
      </c>
      <c r="G50" s="10">
        <f>IFERROR((1-G49/G48),0)</f>
        <v>0.11348265599679019</v>
      </c>
      <c r="H50" s="10">
        <f>IFERROR((1-H49/H48),0)</f>
        <v>9.2750087162086992E-2</v>
      </c>
      <c r="I50" s="10">
        <f>IFERROR((1-I49/I48),0)</f>
        <v>0.11695099996198255</v>
      </c>
      <c r="J50" s="10">
        <f>IFERROR((1-J49/J48),0)</f>
        <v>9.9736214981868243E-2</v>
      </c>
      <c r="K50" s="10">
        <v>0.12217623667353106</v>
      </c>
      <c r="L50" s="10">
        <f>IFERROR((1-L49/L48),0)</f>
        <v>0.10882215018808905</v>
      </c>
      <c r="M50" s="10">
        <f>IFERROR((1-M49/M48),0)</f>
        <v>0.10855743070388324</v>
      </c>
      <c r="N50" s="10">
        <f>IFERROR((1-N49/N48),0)</f>
        <v>0.10014034636831615</v>
      </c>
      <c r="O50" s="10">
        <f>IFERROR((1-O49/O48),0)</f>
        <v>0.10274554637421429</v>
      </c>
      <c r="P50" s="10">
        <f>IFERROR((1-P49/P48),0)</f>
        <v>0.11597042671024016</v>
      </c>
      <c r="Q50" s="10">
        <f>IFERROR((1-Q49/Q48),0)</f>
        <v>0.10142476460966698</v>
      </c>
      <c r="S50" s="28"/>
      <c r="T50" s="2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s="2" customFormat="1" x14ac:dyDescent="0.3">
      <c r="A51" s="1"/>
      <c r="B51" s="1"/>
      <c r="C51" s="1"/>
      <c r="E51" s="5" t="s">
        <v>3</v>
      </c>
      <c r="F51" s="8">
        <v>67</v>
      </c>
      <c r="G51" s="8">
        <v>90</v>
      </c>
      <c r="H51" s="8">
        <v>74</v>
      </c>
      <c r="I51" s="8">
        <v>139</v>
      </c>
      <c r="J51" s="8">
        <v>260</v>
      </c>
      <c r="K51" s="8">
        <v>129</v>
      </c>
      <c r="L51" s="8">
        <v>72</v>
      </c>
      <c r="M51" s="8">
        <v>156</v>
      </c>
      <c r="N51" s="8">
        <v>534</v>
      </c>
      <c r="O51" s="8">
        <v>318</v>
      </c>
      <c r="P51" s="8">
        <v>285</v>
      </c>
      <c r="Q51" s="8">
        <v>244</v>
      </c>
      <c r="S51" s="28"/>
      <c r="T51" s="2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s="2" customFormat="1" x14ac:dyDescent="0.3">
      <c r="A52" s="1"/>
      <c r="B52" s="1"/>
      <c r="C52" s="1"/>
      <c r="E52" s="5" t="s">
        <v>2</v>
      </c>
      <c r="F52" s="24">
        <f>IFERROR(F48/F37,0)</f>
        <v>516.47415457663271</v>
      </c>
      <c r="G52" s="24">
        <f>IFERROR(G48/G37,0)</f>
        <v>516.92815832649865</v>
      </c>
      <c r="H52" s="24">
        <f>IFERROR(H48/H37,0)</f>
        <v>517.2807995495566</v>
      </c>
      <c r="I52" s="24">
        <f>IFERROR(I48/I37,0)</f>
        <v>518.83905106321163</v>
      </c>
      <c r="J52" s="24">
        <f>IFERROR(J48/J37,0)</f>
        <v>515.60526539589102</v>
      </c>
      <c r="K52" s="24">
        <v>516.70829511164618</v>
      </c>
      <c r="L52" s="24">
        <f>IFERROR(L48/L37,0)</f>
        <v>610.87809670614729</v>
      </c>
      <c r="M52" s="24">
        <f>IFERROR(M48/M37,0)</f>
        <v>597.0399584631333</v>
      </c>
      <c r="N52" s="24">
        <f>IFERROR(N48/N37,0)</f>
        <v>592.48552340425294</v>
      </c>
      <c r="O52" s="24">
        <f>IFERROR(O48/O37,0)</f>
        <v>590.75124193000045</v>
      </c>
      <c r="P52" s="24">
        <f>IFERROR(P48/P37,0)</f>
        <v>583.58676096899387</v>
      </c>
      <c r="Q52" s="24">
        <f>IFERROR(Q48/Q37,0)</f>
        <v>576.69914022517776</v>
      </c>
      <c r="S52" s="28"/>
      <c r="T52" s="2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s="2" customFormat="1" x14ac:dyDescent="0.3">
      <c r="A53" s="1"/>
      <c r="B53" s="1"/>
      <c r="C53" s="1"/>
      <c r="E53" s="5" t="s">
        <v>1</v>
      </c>
      <c r="F53" s="56">
        <v>0</v>
      </c>
      <c r="G53" s="56">
        <v>0</v>
      </c>
      <c r="H53" s="56">
        <v>0</v>
      </c>
      <c r="I53" s="56">
        <v>0</v>
      </c>
      <c r="J53" s="56">
        <v>0</v>
      </c>
      <c r="K53" s="56">
        <v>0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S53" s="28"/>
      <c r="T53" s="2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s="2" customFormat="1" x14ac:dyDescent="0.3">
      <c r="A54" s="1"/>
      <c r="B54" s="1"/>
      <c r="C54" s="1"/>
      <c r="E54" s="5" t="s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S54" s="28"/>
      <c r="T54" s="2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s="2" customFormat="1" ht="3" customHeight="1" x14ac:dyDescent="0.3">
      <c r="F55" s="55"/>
      <c r="G55" s="55"/>
      <c r="H55" s="55"/>
      <c r="I55" s="61"/>
      <c r="J55" s="55"/>
      <c r="K55" s="60"/>
      <c r="L55" s="29"/>
      <c r="M55" s="29"/>
      <c r="N55" s="29"/>
      <c r="O55" s="29"/>
      <c r="P55" s="29"/>
      <c r="Q55" s="29"/>
      <c r="S55" s="28"/>
      <c r="T55" s="2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s="2" customFormat="1" hidden="1" x14ac:dyDescent="0.3">
      <c r="F56" s="55">
        <v>40</v>
      </c>
      <c r="G56" s="55">
        <v>20</v>
      </c>
      <c r="H56" s="55">
        <f>G283-H286+H297</f>
        <v>13</v>
      </c>
      <c r="I56" s="55">
        <f>H283-I286+I297</f>
        <v>13</v>
      </c>
      <c r="J56" s="55">
        <f>I283-J286+J297</f>
        <v>13</v>
      </c>
      <c r="K56" s="55">
        <v>15</v>
      </c>
      <c r="L56" s="55">
        <f>K283-L286+L297</f>
        <v>15</v>
      </c>
      <c r="M56" s="55">
        <f>L283-M286+M297</f>
        <v>15</v>
      </c>
      <c r="N56" s="55">
        <f>M283-N286+N297</f>
        <v>15</v>
      </c>
      <c r="O56" s="55">
        <f>N283-O286+O297</f>
        <v>13</v>
      </c>
      <c r="P56" s="55">
        <f>O283-P286+P297</f>
        <v>12</v>
      </c>
      <c r="Q56" s="29"/>
      <c r="S56" s="28"/>
      <c r="T56" s="2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s="2" customFormat="1" hidden="1" x14ac:dyDescent="0.3">
      <c r="F57" s="55">
        <f>F283-F56</f>
        <v>-25</v>
      </c>
      <c r="G57" s="55">
        <v>0</v>
      </c>
      <c r="H57" s="55">
        <f>H283-H56</f>
        <v>0</v>
      </c>
      <c r="I57" s="55">
        <f>I283-I56</f>
        <v>0</v>
      </c>
      <c r="J57" s="55">
        <f>J283-J56</f>
        <v>2</v>
      </c>
      <c r="K57" s="55">
        <v>0</v>
      </c>
      <c r="L57" s="55">
        <f>L283-L56</f>
        <v>0</v>
      </c>
      <c r="M57" s="55">
        <f>M283-M56</f>
        <v>0</v>
      </c>
      <c r="N57" s="55">
        <f>N283-N56</f>
        <v>-2</v>
      </c>
      <c r="O57" s="55">
        <f>O283-O56</f>
        <v>0</v>
      </c>
      <c r="P57" s="55">
        <f>P283-P56</f>
        <v>-1</v>
      </c>
      <c r="Q57" s="29"/>
      <c r="S57" s="28"/>
      <c r="T57" s="2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s="2" customFormat="1" hidden="1" x14ac:dyDescent="0.3">
      <c r="F58" s="55">
        <v>352</v>
      </c>
      <c r="G58" s="55" t="e">
        <v>#REF!</v>
      </c>
      <c r="H58" s="55" t="e">
        <f>G188-H191+#REF!</f>
        <v>#REF!</v>
      </c>
      <c r="I58" s="55" t="e">
        <f>H188-I191+#REF!</f>
        <v>#REF!</v>
      </c>
      <c r="J58" s="55" t="e">
        <f>I188-J191+#REF!</f>
        <v>#REF!</v>
      </c>
      <c r="K58" s="55" t="e">
        <v>#REF!</v>
      </c>
      <c r="L58" s="55">
        <f>K188-L191+L202</f>
        <v>238</v>
      </c>
      <c r="M58" s="55">
        <f>L188-M191+M202</f>
        <v>228</v>
      </c>
      <c r="N58" s="55">
        <f>M188-N191+N202</f>
        <v>220</v>
      </c>
      <c r="O58" s="55">
        <f>N188-O191+O202</f>
        <v>218</v>
      </c>
      <c r="P58" s="55">
        <f>O188-P191+P202</f>
        <v>214</v>
      </c>
      <c r="Q58" s="29"/>
      <c r="S58" s="28"/>
      <c r="T58" s="2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s="2" customFormat="1" hidden="1" x14ac:dyDescent="0.3">
      <c r="F59" s="55">
        <f>F188-F58</f>
        <v>-62</v>
      </c>
      <c r="G59" s="55" t="e">
        <v>#REF!</v>
      </c>
      <c r="H59" s="55" t="e">
        <f>H188-H58</f>
        <v>#REF!</v>
      </c>
      <c r="I59" s="55" t="e">
        <f>I188-I58</f>
        <v>#REF!</v>
      </c>
      <c r="J59" s="55" t="e">
        <f>J188-J58</f>
        <v>#REF!</v>
      </c>
      <c r="K59" s="55" t="e">
        <v>#REF!</v>
      </c>
      <c r="L59" s="55">
        <f>L188-L58</f>
        <v>1</v>
      </c>
      <c r="M59" s="55">
        <f>M188-M58</f>
        <v>1</v>
      </c>
      <c r="N59" s="55">
        <f>N188-N58</f>
        <v>0</v>
      </c>
      <c r="O59" s="55">
        <f>O188-O58</f>
        <v>0</v>
      </c>
      <c r="P59" s="55">
        <f>P188-P58</f>
        <v>0</v>
      </c>
      <c r="Q59" s="29"/>
      <c r="S59" s="28"/>
      <c r="T59" s="2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s="2" customFormat="1" x14ac:dyDescent="0.3">
      <c r="A60" s="1"/>
      <c r="B60" s="1"/>
      <c r="C60" s="1"/>
      <c r="E60" s="54" t="s">
        <v>33</v>
      </c>
      <c r="F60" s="54" t="s">
        <v>32</v>
      </c>
      <c r="G60" s="54" t="s">
        <v>31</v>
      </c>
      <c r="H60" s="54" t="s">
        <v>30</v>
      </c>
      <c r="I60" s="54" t="s">
        <v>29</v>
      </c>
      <c r="J60" s="54" t="s">
        <v>28</v>
      </c>
      <c r="K60" s="54" t="s">
        <v>27</v>
      </c>
      <c r="L60" s="54" t="s">
        <v>26</v>
      </c>
      <c r="M60" s="54" t="s">
        <v>25</v>
      </c>
      <c r="N60" s="54" t="s">
        <v>24</v>
      </c>
      <c r="O60" s="54" t="s">
        <v>23</v>
      </c>
      <c r="P60" s="54" t="s">
        <v>22</v>
      </c>
      <c r="Q60" s="54" t="s">
        <v>21</v>
      </c>
      <c r="S60" s="28"/>
      <c r="T60" s="2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x14ac:dyDescent="0.3">
      <c r="E61" s="5" t="s">
        <v>20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</row>
    <row r="62" spans="1:107" s="2" customFormat="1" x14ac:dyDescent="0.3">
      <c r="A62" s="1"/>
      <c r="B62" s="1"/>
      <c r="C62" s="1"/>
      <c r="E62" s="5" t="s">
        <v>19</v>
      </c>
      <c r="F62" s="8">
        <f>SUM(F63:F64)</f>
        <v>0</v>
      </c>
      <c r="G62" s="8">
        <f>SUM(G63:G64)</f>
        <v>0</v>
      </c>
      <c r="H62" s="8">
        <f>SUM(H63:H64)</f>
        <v>0</v>
      </c>
      <c r="I62" s="8">
        <f>SUM(I63:I64)</f>
        <v>0</v>
      </c>
      <c r="J62" s="8">
        <f>SUM(J63:J64)</f>
        <v>0</v>
      </c>
      <c r="K62" s="8">
        <f>SUM(K63:K64)</f>
        <v>0</v>
      </c>
      <c r="L62" s="8">
        <f>SUM(L63:L64)</f>
        <v>0</v>
      </c>
      <c r="M62" s="8">
        <f>SUM(M63:M64)</f>
        <v>0</v>
      </c>
      <c r="N62" s="8">
        <f>SUM(N63:N64)</f>
        <v>30</v>
      </c>
      <c r="O62" s="8">
        <f>SUM(O63:O64)</f>
        <v>30</v>
      </c>
      <c r="P62" s="8">
        <f>SUM(P63:P64)</f>
        <v>30</v>
      </c>
      <c r="Q62" s="8">
        <f>SUM(Q63:Q64)</f>
        <v>30</v>
      </c>
      <c r="S62" s="28"/>
      <c r="T62" s="2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s="2" customFormat="1" x14ac:dyDescent="0.3">
      <c r="A63" s="1"/>
      <c r="B63" s="1"/>
      <c r="C63" s="1"/>
      <c r="E63" s="14" t="s">
        <v>41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S63" s="28"/>
      <c r="T63" s="2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s="2" customFormat="1" x14ac:dyDescent="0.3">
      <c r="A64" s="1"/>
      <c r="B64" s="1"/>
      <c r="C64" s="1"/>
      <c r="E64" s="14" t="s">
        <v>40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30</v>
      </c>
      <c r="O64" s="8">
        <v>30</v>
      </c>
      <c r="P64" s="8">
        <v>30</v>
      </c>
      <c r="Q64" s="8">
        <v>30</v>
      </c>
      <c r="S64" s="28"/>
      <c r="T64" s="2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s="2" customFormat="1" x14ac:dyDescent="0.3">
      <c r="A65" s="1"/>
      <c r="B65" s="1"/>
      <c r="C65" s="1"/>
      <c r="E65" s="5" t="s">
        <v>39</v>
      </c>
      <c r="F65" s="8">
        <f>SUM(F68:F72)</f>
        <v>0</v>
      </c>
      <c r="G65" s="8">
        <f>SUM(G68:G72)</f>
        <v>0</v>
      </c>
      <c r="H65" s="8">
        <f>SUM(H68:H72)</f>
        <v>0</v>
      </c>
      <c r="I65" s="8">
        <f>SUM(I68:I72)</f>
        <v>0</v>
      </c>
      <c r="J65" s="8">
        <f>SUM(J68:J72)</f>
        <v>0</v>
      </c>
      <c r="K65" s="8">
        <f>SUM(K68:K72)</f>
        <v>0</v>
      </c>
      <c r="L65" s="8">
        <f>SUM(L68:L72)</f>
        <v>0</v>
      </c>
      <c r="M65" s="8">
        <f>SUM(M68:M72)</f>
        <v>0</v>
      </c>
      <c r="N65" s="8">
        <f>SUM(N68:N72)</f>
        <v>0</v>
      </c>
      <c r="O65" s="8">
        <f>SUM(O68:O72)</f>
        <v>0</v>
      </c>
      <c r="P65" s="8">
        <f>SUM(P68:P72)</f>
        <v>0</v>
      </c>
      <c r="Q65" s="8">
        <f>SUM(Q68:Q72)</f>
        <v>0</v>
      </c>
      <c r="S65" s="28"/>
      <c r="T65" s="2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s="2" customFormat="1" x14ac:dyDescent="0.3">
      <c r="A66" s="1"/>
      <c r="B66" s="1"/>
      <c r="C66" s="1"/>
      <c r="E66" s="5" t="s">
        <v>15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6</v>
      </c>
      <c r="N66" s="8">
        <v>0</v>
      </c>
      <c r="O66" s="8">
        <v>0</v>
      </c>
      <c r="P66" s="8">
        <v>0</v>
      </c>
      <c r="Q66" s="8">
        <v>0</v>
      </c>
      <c r="S66" s="28"/>
      <c r="T66" s="2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s="2" customFormat="1" x14ac:dyDescent="0.3">
      <c r="A67" s="1"/>
      <c r="B67" s="1"/>
      <c r="C67" s="1"/>
      <c r="E67" s="5" t="s">
        <v>14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S67" s="28"/>
      <c r="T67" s="2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s="2" customFormat="1" x14ac:dyDescent="0.3">
      <c r="A68" s="1"/>
      <c r="B68" s="1"/>
      <c r="C68" s="1"/>
      <c r="E68" s="5" t="s">
        <v>13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S68" s="28"/>
      <c r="T68" s="2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s="2" customFormat="1" x14ac:dyDescent="0.3">
      <c r="A69" s="1"/>
      <c r="B69" s="1"/>
      <c r="C69" s="1"/>
      <c r="E69" s="5" t="s">
        <v>12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S69" s="28"/>
      <c r="T69" s="2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s="2" customFormat="1" x14ac:dyDescent="0.3">
      <c r="A70" s="1"/>
      <c r="B70" s="1"/>
      <c r="C70" s="1"/>
      <c r="E70" s="5" t="s">
        <v>11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S70" s="28"/>
      <c r="T70" s="2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s="2" customFormat="1" x14ac:dyDescent="0.3">
      <c r="A71" s="1"/>
      <c r="B71" s="1"/>
      <c r="C71" s="1"/>
      <c r="E71" s="5" t="s">
        <v>50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0</v>
      </c>
      <c r="P71" s="42">
        <v>0</v>
      </c>
      <c r="Q71" s="42">
        <v>0</v>
      </c>
      <c r="S71" s="28"/>
      <c r="T71" s="2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s="2" customFormat="1" x14ac:dyDescent="0.3">
      <c r="A72" s="1"/>
      <c r="B72" s="1"/>
      <c r="C72" s="1"/>
      <c r="E72" s="5" t="s">
        <v>46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42">
        <v>0</v>
      </c>
      <c r="N72" s="42">
        <v>0</v>
      </c>
      <c r="O72" s="42">
        <v>0</v>
      </c>
      <c r="P72" s="42">
        <v>0</v>
      </c>
      <c r="Q72" s="42">
        <v>0</v>
      </c>
      <c r="S72" s="28"/>
      <c r="T72" s="28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s="2" customFormat="1" x14ac:dyDescent="0.3">
      <c r="A73" s="1"/>
      <c r="B73" s="1"/>
      <c r="C73" s="1"/>
      <c r="E73" s="5" t="s">
        <v>6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49206.939999999988</v>
      </c>
      <c r="O73" s="23">
        <v>47704.460000000006</v>
      </c>
      <c r="P73" s="23">
        <v>47704.45</v>
      </c>
      <c r="Q73" s="23">
        <v>47889.4</v>
      </c>
      <c r="S73" s="28"/>
      <c r="T73" s="28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s="2" customFormat="1" x14ac:dyDescent="0.3">
      <c r="A74" s="1"/>
      <c r="B74" s="1"/>
      <c r="C74" s="1"/>
      <c r="E74" s="5" t="s">
        <v>5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49206.939999999988</v>
      </c>
      <c r="O74" s="23">
        <v>47704.460000000006</v>
      </c>
      <c r="P74" s="23">
        <v>47704.45</v>
      </c>
      <c r="Q74" s="23">
        <v>47889.4</v>
      </c>
      <c r="S74" s="28"/>
      <c r="T74" s="28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s="2" customFormat="1" x14ac:dyDescent="0.3">
      <c r="A75" s="1"/>
      <c r="B75" s="1"/>
      <c r="C75" s="1"/>
      <c r="E75" s="5" t="s">
        <v>49</v>
      </c>
      <c r="F75" s="10">
        <f>IFERROR((1-F74/F73),0)</f>
        <v>0</v>
      </c>
      <c r="G75" s="10">
        <f>IFERROR((1-G74/G73),0)</f>
        <v>0</v>
      </c>
      <c r="H75" s="10">
        <f>IFERROR((1-H74/H73),0)</f>
        <v>0</v>
      </c>
      <c r="I75" s="10">
        <f>IFERROR((1-I74/I73),0)</f>
        <v>0</v>
      </c>
      <c r="J75" s="10">
        <f>IFERROR((1-J74/J73),0)</f>
        <v>0</v>
      </c>
      <c r="K75" s="10">
        <f>IFERROR((1-K74/K73),0)</f>
        <v>0</v>
      </c>
      <c r="L75" s="10">
        <f>IFERROR((1-L74/L73),0)</f>
        <v>0</v>
      </c>
      <c r="M75" s="10">
        <f>IFERROR((1-M74/M73),0)</f>
        <v>0</v>
      </c>
      <c r="N75" s="10">
        <f>IFERROR((1-N74/N73),0)</f>
        <v>0</v>
      </c>
      <c r="O75" s="10">
        <f>IFERROR((1-O74/O73),0)</f>
        <v>0</v>
      </c>
      <c r="P75" s="10">
        <f>IFERROR((1-P74/P73),0)</f>
        <v>0</v>
      </c>
      <c r="Q75" s="10">
        <f>IFERROR((1-Q74/Q73),0)</f>
        <v>0</v>
      </c>
      <c r="S75" s="28"/>
      <c r="T75" s="28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s="2" customFormat="1" x14ac:dyDescent="0.3">
      <c r="A76" s="1"/>
      <c r="B76" s="1"/>
      <c r="C76" s="1"/>
      <c r="E76" s="5" t="s">
        <v>3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30</v>
      </c>
      <c r="O76" s="8">
        <v>0</v>
      </c>
      <c r="P76" s="8">
        <v>0</v>
      </c>
      <c r="Q76" s="8">
        <v>0</v>
      </c>
      <c r="S76" s="28"/>
      <c r="T76" s="28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s="2" customFormat="1" x14ac:dyDescent="0.3">
      <c r="A77" s="1"/>
      <c r="B77" s="1"/>
      <c r="C77" s="1"/>
      <c r="E77" s="5" t="s">
        <v>2</v>
      </c>
      <c r="F77" s="24">
        <f>IFERROR(F73/F62,0)</f>
        <v>0</v>
      </c>
      <c r="G77" s="24">
        <f>IFERROR(G73/G62,0)</f>
        <v>0</v>
      </c>
      <c r="H77" s="24">
        <f>IFERROR(H73/H62,0)</f>
        <v>0</v>
      </c>
      <c r="I77" s="24">
        <f>IFERROR(I73/I62,0)</f>
        <v>0</v>
      </c>
      <c r="J77" s="24">
        <f>IFERROR(J73/J62,0)</f>
        <v>0</v>
      </c>
      <c r="K77" s="24">
        <f>IFERROR(K73/K62,0)</f>
        <v>0</v>
      </c>
      <c r="L77" s="24">
        <f>IFERROR(L73/L62,0)</f>
        <v>0</v>
      </c>
      <c r="M77" s="24">
        <f>IFERROR(M73/M62,0)</f>
        <v>0</v>
      </c>
      <c r="N77" s="24">
        <f>IFERROR(N73/N62,0)</f>
        <v>1640.2313333333329</v>
      </c>
      <c r="O77" s="24">
        <f>IFERROR(O73/O62,0)</f>
        <v>1590.1486666666669</v>
      </c>
      <c r="P77" s="24">
        <f>IFERROR(P73/P62,0)</f>
        <v>1590.1483333333333</v>
      </c>
      <c r="Q77" s="24">
        <f>IFERROR(Q73/Q62,0)</f>
        <v>1596.3133333333333</v>
      </c>
      <c r="S77" s="28"/>
      <c r="T77" s="28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s="2" customFormat="1" x14ac:dyDescent="0.3">
      <c r="A78" s="1"/>
      <c r="B78" s="1"/>
      <c r="C78" s="1"/>
      <c r="E78" s="5" t="s">
        <v>1</v>
      </c>
      <c r="F78" s="56">
        <v>0</v>
      </c>
      <c r="G78" s="56">
        <v>0</v>
      </c>
      <c r="H78" s="56">
        <v>0</v>
      </c>
      <c r="I78" s="56">
        <v>0</v>
      </c>
      <c r="J78" s="56">
        <v>0</v>
      </c>
      <c r="K78" s="56">
        <v>0</v>
      </c>
      <c r="L78" s="56">
        <v>0</v>
      </c>
      <c r="M78" s="56">
        <v>0</v>
      </c>
      <c r="N78" s="56">
        <v>0</v>
      </c>
      <c r="O78" s="56">
        <v>0</v>
      </c>
      <c r="P78" s="56">
        <v>0</v>
      </c>
      <c r="Q78" s="56">
        <v>0</v>
      </c>
      <c r="S78" s="28"/>
      <c r="T78" s="28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s="2" customFormat="1" x14ac:dyDescent="0.3">
      <c r="A79" s="1"/>
      <c r="B79" s="1"/>
      <c r="C79" s="1"/>
      <c r="E79" s="5" t="s">
        <v>0</v>
      </c>
      <c r="F79" s="56">
        <v>0</v>
      </c>
      <c r="G79" s="56">
        <v>0</v>
      </c>
      <c r="H79" s="56">
        <v>0</v>
      </c>
      <c r="I79" s="56">
        <v>0</v>
      </c>
      <c r="J79" s="56">
        <v>0</v>
      </c>
      <c r="K79" s="56">
        <v>0</v>
      </c>
      <c r="L79" s="56">
        <v>0</v>
      </c>
      <c r="M79" s="56">
        <v>0</v>
      </c>
      <c r="N79" s="56">
        <v>0</v>
      </c>
      <c r="O79" s="56">
        <v>0</v>
      </c>
      <c r="P79" s="56">
        <v>0</v>
      </c>
      <c r="Q79" s="56">
        <v>0</v>
      </c>
      <c r="S79" s="28"/>
      <c r="T79" s="28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s="2" customFormat="1" ht="3" customHeight="1" x14ac:dyDescent="0.3">
      <c r="F80" s="55"/>
      <c r="G80" s="55"/>
      <c r="H80" s="55"/>
      <c r="I80" s="61"/>
      <c r="J80" s="55"/>
      <c r="K80" s="60"/>
      <c r="L80" s="29"/>
      <c r="M80" s="29"/>
      <c r="N80" s="29"/>
      <c r="O80" s="29"/>
      <c r="P80" s="29"/>
      <c r="Q80" s="29"/>
      <c r="S80" s="28"/>
      <c r="T80" s="28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s="2" customFormat="1" x14ac:dyDescent="0.3">
      <c r="A81" s="1"/>
      <c r="B81" s="1"/>
      <c r="C81" s="1"/>
      <c r="E81" s="54" t="s">
        <v>33</v>
      </c>
      <c r="F81" s="54" t="s">
        <v>32</v>
      </c>
      <c r="G81" s="54" t="s">
        <v>31</v>
      </c>
      <c r="H81" s="54" t="s">
        <v>30</v>
      </c>
      <c r="I81" s="54" t="s">
        <v>29</v>
      </c>
      <c r="J81" s="54" t="s">
        <v>28</v>
      </c>
      <c r="K81" s="54" t="s">
        <v>27</v>
      </c>
      <c r="L81" s="54" t="s">
        <v>26</v>
      </c>
      <c r="M81" s="54" t="s">
        <v>25</v>
      </c>
      <c r="N81" s="54" t="s">
        <v>24</v>
      </c>
      <c r="O81" s="54" t="s">
        <v>23</v>
      </c>
      <c r="P81" s="54" t="s">
        <v>22</v>
      </c>
      <c r="Q81" s="54" t="s">
        <v>21</v>
      </c>
      <c r="S81" s="28"/>
      <c r="T81" s="28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x14ac:dyDescent="0.3">
      <c r="E82" s="5" t="s">
        <v>20</v>
      </c>
      <c r="F82" s="8">
        <v>0</v>
      </c>
      <c r="G82" s="80">
        <v>0</v>
      </c>
      <c r="H82" s="80">
        <v>0</v>
      </c>
      <c r="I82" s="80">
        <v>0</v>
      </c>
      <c r="J82" s="80">
        <v>0</v>
      </c>
      <c r="K82" s="80">
        <v>0</v>
      </c>
      <c r="L82" s="80">
        <v>0</v>
      </c>
      <c r="M82" s="80">
        <v>0</v>
      </c>
      <c r="N82" s="80">
        <v>0</v>
      </c>
      <c r="O82" s="80">
        <v>0</v>
      </c>
      <c r="P82" s="80">
        <v>0</v>
      </c>
      <c r="Q82" s="80">
        <v>0</v>
      </c>
    </row>
    <row r="83" spans="1:107" s="2" customFormat="1" x14ac:dyDescent="0.3">
      <c r="A83" s="1"/>
      <c r="B83" s="1"/>
      <c r="C83" s="1"/>
      <c r="E83" s="5" t="s">
        <v>19</v>
      </c>
      <c r="F83" s="8">
        <f>SUM(F84:F85)</f>
        <v>14</v>
      </c>
      <c r="G83" s="8">
        <f>SUM(G84:G85)</f>
        <v>15</v>
      </c>
      <c r="H83" s="8">
        <f>SUM(H84:H85)</f>
        <v>15</v>
      </c>
      <c r="I83" s="8">
        <f>SUM(I84:I85)</f>
        <v>15</v>
      </c>
      <c r="J83" s="8">
        <f>SUM(J84:J85)</f>
        <v>16</v>
      </c>
      <c r="K83" s="8">
        <v>17</v>
      </c>
      <c r="L83" s="8">
        <f>SUM(L84:L85)</f>
        <v>17</v>
      </c>
      <c r="M83" s="8">
        <f>SUM(M84:M85)</f>
        <v>21</v>
      </c>
      <c r="N83" s="8">
        <f>SUM(N84:N85)</f>
        <v>21</v>
      </c>
      <c r="O83" s="8">
        <f>SUM(O84:O85)</f>
        <v>22</v>
      </c>
      <c r="P83" s="8">
        <f>SUM(P84:P85)</f>
        <v>25</v>
      </c>
      <c r="Q83" s="8">
        <f>SUM(Q84:Q85)</f>
        <v>27</v>
      </c>
      <c r="S83" s="28"/>
      <c r="T83" s="28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s="2" customFormat="1" x14ac:dyDescent="0.3">
      <c r="A84" s="1"/>
      <c r="B84" s="1"/>
      <c r="C84" s="1"/>
      <c r="E84" s="14" t="s">
        <v>41</v>
      </c>
      <c r="F84" s="8">
        <v>0</v>
      </c>
      <c r="G84" s="80">
        <v>0</v>
      </c>
      <c r="H84" s="80">
        <v>0</v>
      </c>
      <c r="I84" s="80">
        <v>0</v>
      </c>
      <c r="J84" s="80">
        <v>0</v>
      </c>
      <c r="K84" s="80">
        <v>0</v>
      </c>
      <c r="L84" s="80">
        <v>0</v>
      </c>
      <c r="M84" s="80">
        <v>0</v>
      </c>
      <c r="N84" s="80">
        <v>0</v>
      </c>
      <c r="O84" s="80">
        <v>0</v>
      </c>
      <c r="P84" s="80">
        <v>0</v>
      </c>
      <c r="Q84" s="80">
        <v>0</v>
      </c>
      <c r="S84" s="28"/>
      <c r="T84" s="28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s="2" customFormat="1" x14ac:dyDescent="0.3">
      <c r="A85" s="1"/>
      <c r="B85" s="1"/>
      <c r="C85" s="1"/>
      <c r="E85" s="14" t="s">
        <v>40</v>
      </c>
      <c r="F85" s="8">
        <v>14</v>
      </c>
      <c r="G85" s="80">
        <v>15</v>
      </c>
      <c r="H85" s="80">
        <v>15</v>
      </c>
      <c r="I85" s="80">
        <v>15</v>
      </c>
      <c r="J85" s="80">
        <v>16</v>
      </c>
      <c r="K85" s="80">
        <v>17</v>
      </c>
      <c r="L85" s="80">
        <v>17</v>
      </c>
      <c r="M85" s="80">
        <v>21</v>
      </c>
      <c r="N85" s="80">
        <v>21</v>
      </c>
      <c r="O85" s="80">
        <v>22</v>
      </c>
      <c r="P85" s="80">
        <v>25</v>
      </c>
      <c r="Q85" s="80">
        <v>27</v>
      </c>
      <c r="S85" s="28"/>
      <c r="T85" s="28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s="2" customFormat="1" x14ac:dyDescent="0.3">
      <c r="A86" s="1"/>
      <c r="B86" s="1"/>
      <c r="C86" s="1"/>
      <c r="E86" s="5" t="s">
        <v>39</v>
      </c>
      <c r="F86" s="8">
        <f>SUM(F89:F93)</f>
        <v>0</v>
      </c>
      <c r="G86" s="8">
        <f>SUM(G89:G93)</f>
        <v>0</v>
      </c>
      <c r="H86" s="8">
        <f>SUM(H89:H93)</f>
        <v>0</v>
      </c>
      <c r="I86" s="8">
        <f>SUM(I89:I93)</f>
        <v>0</v>
      </c>
      <c r="J86" s="8">
        <f>SUM(J89:J93)</f>
        <v>0</v>
      </c>
      <c r="K86" s="8">
        <v>0</v>
      </c>
      <c r="L86" s="8">
        <f>SUM(L89:L93)</f>
        <v>0</v>
      </c>
      <c r="M86" s="8">
        <f>SUM(M89:M93)</f>
        <v>0</v>
      </c>
      <c r="N86" s="8">
        <f>SUM(N89:N93)</f>
        <v>0</v>
      </c>
      <c r="O86" s="8">
        <f>SUM(O89:O93)</f>
        <v>0</v>
      </c>
      <c r="P86" s="8">
        <f>SUM(P89:P93)</f>
        <v>0</v>
      </c>
      <c r="Q86" s="8">
        <f>SUM(Q89:Q93)</f>
        <v>0</v>
      </c>
      <c r="S86" s="28"/>
      <c r="T86" s="28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s="2" customFormat="1" x14ac:dyDescent="0.3">
      <c r="A87" s="1"/>
      <c r="B87" s="1"/>
      <c r="C87" s="1"/>
      <c r="E87" s="5" t="s">
        <v>15</v>
      </c>
      <c r="F87" s="8">
        <v>0</v>
      </c>
      <c r="G87" s="81">
        <v>0</v>
      </c>
      <c r="H87" s="81">
        <v>0</v>
      </c>
      <c r="I87" s="81">
        <v>0</v>
      </c>
      <c r="J87" s="81">
        <v>0</v>
      </c>
      <c r="K87" s="81">
        <v>0</v>
      </c>
      <c r="L87" s="81">
        <v>0</v>
      </c>
      <c r="M87" s="81">
        <v>0</v>
      </c>
      <c r="N87" s="81">
        <v>0</v>
      </c>
      <c r="O87" s="81">
        <v>0</v>
      </c>
      <c r="P87" s="81">
        <v>0</v>
      </c>
      <c r="Q87" s="81">
        <v>0</v>
      </c>
      <c r="S87" s="28"/>
      <c r="T87" s="28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s="2" customFormat="1" x14ac:dyDescent="0.3">
      <c r="A88" s="1"/>
      <c r="B88" s="1"/>
      <c r="C88" s="1"/>
      <c r="E88" s="5" t="s">
        <v>14</v>
      </c>
      <c r="F88" s="10">
        <f>IFERROR(F86/'Relatório Indicadores 24'!Q194,0)</f>
        <v>0</v>
      </c>
      <c r="G88" s="10">
        <f>IFERROR(G86/F83,0)</f>
        <v>0</v>
      </c>
      <c r="H88" s="10">
        <f>IFERROR(H86/G83,0)</f>
        <v>0</v>
      </c>
      <c r="I88" s="10">
        <f>IFERROR(I86/H83,0)</f>
        <v>0</v>
      </c>
      <c r="J88" s="10">
        <f>IFERROR(J86/I83,0)</f>
        <v>0</v>
      </c>
      <c r="K88" s="10">
        <v>0</v>
      </c>
      <c r="L88" s="10">
        <f>IFERROR(L86/K83,0)</f>
        <v>0</v>
      </c>
      <c r="M88" s="10">
        <f>IFERROR(M86/L83,0)</f>
        <v>0</v>
      </c>
      <c r="N88" s="10">
        <f>IFERROR(N86/M83,0)</f>
        <v>0</v>
      </c>
      <c r="O88" s="10">
        <f>IFERROR(O86/N83,0)</f>
        <v>0</v>
      </c>
      <c r="P88" s="10">
        <f>IFERROR(P86/O83,0)</f>
        <v>0</v>
      </c>
      <c r="Q88" s="10">
        <f>IFERROR(Q86/P83,0)</f>
        <v>0</v>
      </c>
      <c r="S88" s="28"/>
      <c r="T88" s="28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s="2" customFormat="1" x14ac:dyDescent="0.3">
      <c r="A89" s="1"/>
      <c r="B89" s="1"/>
      <c r="C89" s="1"/>
      <c r="E89" s="5" t="s">
        <v>13</v>
      </c>
      <c r="F89" s="8">
        <v>0</v>
      </c>
      <c r="G89" s="80">
        <v>0</v>
      </c>
      <c r="H89" s="80">
        <v>0</v>
      </c>
      <c r="I89" s="80">
        <v>0</v>
      </c>
      <c r="J89" s="80">
        <v>0</v>
      </c>
      <c r="K89" s="80">
        <v>0</v>
      </c>
      <c r="L89" s="80">
        <v>0</v>
      </c>
      <c r="M89" s="80">
        <v>0</v>
      </c>
      <c r="N89" s="80">
        <v>0</v>
      </c>
      <c r="O89" s="80">
        <v>0</v>
      </c>
      <c r="P89" s="80">
        <v>0</v>
      </c>
      <c r="Q89" s="80">
        <v>0</v>
      </c>
      <c r="S89" s="28"/>
      <c r="T89" s="28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s="2" customFormat="1" x14ac:dyDescent="0.3">
      <c r="A90" s="1"/>
      <c r="B90" s="1"/>
      <c r="C90" s="1"/>
      <c r="E90" s="5" t="s">
        <v>12</v>
      </c>
      <c r="F90" s="8">
        <v>0</v>
      </c>
      <c r="G90" s="80">
        <v>0</v>
      </c>
      <c r="H90" s="80">
        <v>0</v>
      </c>
      <c r="I90" s="80">
        <v>0</v>
      </c>
      <c r="J90" s="80">
        <v>0</v>
      </c>
      <c r="K90" s="80">
        <v>0</v>
      </c>
      <c r="L90" s="80">
        <v>0</v>
      </c>
      <c r="M90" s="80">
        <v>0</v>
      </c>
      <c r="N90" s="80">
        <v>0</v>
      </c>
      <c r="O90" s="80">
        <v>0</v>
      </c>
      <c r="P90" s="80">
        <v>0</v>
      </c>
      <c r="Q90" s="80">
        <v>0</v>
      </c>
      <c r="S90" s="28"/>
      <c r="T90" s="28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s="2" customFormat="1" x14ac:dyDescent="0.3">
      <c r="A91" s="1"/>
      <c r="B91" s="1"/>
      <c r="C91" s="1"/>
      <c r="E91" s="5" t="s">
        <v>11</v>
      </c>
      <c r="F91" s="8">
        <v>0</v>
      </c>
      <c r="G91" s="80">
        <v>0</v>
      </c>
      <c r="H91" s="80">
        <v>0</v>
      </c>
      <c r="I91" s="80">
        <v>0</v>
      </c>
      <c r="J91" s="80">
        <v>0</v>
      </c>
      <c r="K91" s="80">
        <v>0</v>
      </c>
      <c r="L91" s="80">
        <v>0</v>
      </c>
      <c r="M91" s="80">
        <v>0</v>
      </c>
      <c r="N91" s="80">
        <v>0</v>
      </c>
      <c r="O91" s="80">
        <v>0</v>
      </c>
      <c r="P91" s="80">
        <v>0</v>
      </c>
      <c r="Q91" s="80">
        <v>0</v>
      </c>
      <c r="S91" s="28"/>
      <c r="T91" s="28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s="2" customFormat="1" x14ac:dyDescent="0.3">
      <c r="A92" s="1"/>
      <c r="B92" s="1"/>
      <c r="C92" s="1"/>
      <c r="E92" s="5" t="s">
        <v>50</v>
      </c>
      <c r="F92" s="8">
        <v>0</v>
      </c>
      <c r="G92" s="79">
        <v>0</v>
      </c>
      <c r="H92" s="79">
        <v>0</v>
      </c>
      <c r="I92" s="79">
        <v>0</v>
      </c>
      <c r="J92" s="79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S92" s="28"/>
      <c r="T92" s="28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s="2" customFormat="1" x14ac:dyDescent="0.3">
      <c r="A93" s="1"/>
      <c r="B93" s="1"/>
      <c r="C93" s="1"/>
      <c r="E93" s="5" t="s">
        <v>46</v>
      </c>
      <c r="F93" s="8">
        <v>0</v>
      </c>
      <c r="G93" s="79">
        <v>0</v>
      </c>
      <c r="H93" s="79">
        <v>0</v>
      </c>
      <c r="I93" s="79">
        <v>0</v>
      </c>
      <c r="J93" s="79">
        <v>0</v>
      </c>
      <c r="K93" s="79">
        <v>0</v>
      </c>
      <c r="L93" s="79">
        <v>0</v>
      </c>
      <c r="M93" s="79">
        <v>0</v>
      </c>
      <c r="N93" s="79">
        <v>0</v>
      </c>
      <c r="O93" s="79">
        <v>0</v>
      </c>
      <c r="P93" s="79">
        <v>0</v>
      </c>
      <c r="Q93" s="79">
        <v>0</v>
      </c>
      <c r="S93" s="28"/>
      <c r="T93" s="28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s="2" customFormat="1" x14ac:dyDescent="0.3">
      <c r="A94" s="1"/>
      <c r="B94" s="1"/>
      <c r="C94" s="1"/>
      <c r="E94" s="5" t="s">
        <v>6</v>
      </c>
      <c r="F94" s="23">
        <v>10523.46</v>
      </c>
      <c r="G94" s="23">
        <v>13520.170000000002</v>
      </c>
      <c r="H94" s="23">
        <v>13520.17</v>
      </c>
      <c r="I94" s="23">
        <v>13520.170000000002</v>
      </c>
      <c r="J94" s="23">
        <v>14029.350000000002</v>
      </c>
      <c r="K94" s="23">
        <v>15250.840000000002</v>
      </c>
      <c r="L94" s="23">
        <v>16815.739999999998</v>
      </c>
      <c r="M94" s="23">
        <v>18654.739999999998</v>
      </c>
      <c r="N94" s="23">
        <v>18654.739999999998</v>
      </c>
      <c r="O94" s="23">
        <v>19997.16</v>
      </c>
      <c r="P94" s="23">
        <v>22177.53</v>
      </c>
      <c r="Q94" s="23">
        <v>23615.140000000007</v>
      </c>
      <c r="S94" s="28"/>
      <c r="T94" s="28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s="2" customFormat="1" x14ac:dyDescent="0.3">
      <c r="A95" s="1"/>
      <c r="B95" s="1"/>
      <c r="C95" s="1"/>
      <c r="E95" s="5" t="s">
        <v>5</v>
      </c>
      <c r="F95" s="23">
        <v>9944.869999999999</v>
      </c>
      <c r="G95" s="23">
        <v>13520.170000000002</v>
      </c>
      <c r="H95" s="23">
        <v>13520.17</v>
      </c>
      <c r="I95" s="23">
        <v>13520.170000000002</v>
      </c>
      <c r="J95" s="23">
        <v>14029.350000000002</v>
      </c>
      <c r="K95" s="23">
        <v>15250.840000000002</v>
      </c>
      <c r="L95" s="23">
        <v>16815.739999999998</v>
      </c>
      <c r="M95" s="23">
        <v>16688.839999999997</v>
      </c>
      <c r="N95" s="23">
        <v>18654.739999999998</v>
      </c>
      <c r="O95" s="23">
        <v>19997.16</v>
      </c>
      <c r="P95" s="23">
        <v>22177.53</v>
      </c>
      <c r="Q95" s="23">
        <v>23615.140000000007</v>
      </c>
      <c r="S95" s="28"/>
      <c r="T95" s="28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s="2" customFormat="1" x14ac:dyDescent="0.3">
      <c r="A96" s="1"/>
      <c r="B96" s="1"/>
      <c r="C96" s="1"/>
      <c r="E96" s="5" t="s">
        <v>49</v>
      </c>
      <c r="F96" s="10">
        <f>IFERROR((1-F95/F94),0)</f>
        <v>5.4980966336167003E-2</v>
      </c>
      <c r="G96" s="10">
        <f>IFERROR((1-G95/G94),0)</f>
        <v>0</v>
      </c>
      <c r="H96" s="10">
        <f>IFERROR((1-H95/H94),0)</f>
        <v>0</v>
      </c>
      <c r="I96" s="10">
        <f>IFERROR((1-I95/I94),0)</f>
        <v>0</v>
      </c>
      <c r="J96" s="10">
        <f>IFERROR((1-J95/J94),0)</f>
        <v>0</v>
      </c>
      <c r="K96" s="10">
        <v>0</v>
      </c>
      <c r="L96" s="10">
        <f>IFERROR((1-L95/L94),0)</f>
        <v>0</v>
      </c>
      <c r="M96" s="10">
        <f>IFERROR((1-M95/M94),0)</f>
        <v>0.10538340389627521</v>
      </c>
      <c r="N96" s="10">
        <f>IFERROR((1-N95/N94),0)</f>
        <v>0</v>
      </c>
      <c r="O96" s="10">
        <f>IFERROR((1-O95/O94),0)</f>
        <v>0</v>
      </c>
      <c r="P96" s="10">
        <f>IFERROR((1-P95/P94),0)</f>
        <v>0</v>
      </c>
      <c r="Q96" s="10">
        <f>IFERROR((1-Q95/Q94),0)</f>
        <v>0</v>
      </c>
      <c r="S96" s="28"/>
      <c r="T96" s="28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x14ac:dyDescent="0.3">
      <c r="E97" s="5" t="s">
        <v>3</v>
      </c>
      <c r="F97" s="8">
        <v>4</v>
      </c>
      <c r="G97" s="8">
        <v>1</v>
      </c>
      <c r="H97" s="8">
        <v>0</v>
      </c>
      <c r="I97" s="8">
        <v>0</v>
      </c>
      <c r="J97" s="8">
        <v>1</v>
      </c>
      <c r="K97" s="8">
        <v>1</v>
      </c>
      <c r="L97" s="8">
        <v>0</v>
      </c>
      <c r="M97" s="8">
        <v>4</v>
      </c>
      <c r="N97" s="8">
        <v>0</v>
      </c>
      <c r="O97" s="8">
        <v>1</v>
      </c>
      <c r="P97" s="8">
        <v>0</v>
      </c>
      <c r="Q97" s="8">
        <v>2</v>
      </c>
    </row>
    <row r="98" spans="1:107" x14ac:dyDescent="0.3">
      <c r="E98" s="5" t="s">
        <v>2</v>
      </c>
      <c r="F98" s="24">
        <f>IFERROR(F94/F83,0)</f>
        <v>751.67571428571421</v>
      </c>
      <c r="G98" s="24">
        <f>IFERROR(G94/G83,0)</f>
        <v>901.34466666666674</v>
      </c>
      <c r="H98" s="24">
        <f>IFERROR(H94/H83,0)</f>
        <v>901.34466666666663</v>
      </c>
      <c r="I98" s="24">
        <f>IFERROR(I94/I83,0)</f>
        <v>901.34466666666674</v>
      </c>
      <c r="J98" s="24">
        <f>IFERROR(J94/J83,0)</f>
        <v>876.83437500000014</v>
      </c>
      <c r="K98" s="24">
        <v>897.10823529411778</v>
      </c>
      <c r="L98" s="24">
        <f>IFERROR(L94/L83,0)</f>
        <v>989.16117647058809</v>
      </c>
      <c r="M98" s="24">
        <f>IFERROR(M94/M83,0)</f>
        <v>888.32095238095224</v>
      </c>
      <c r="N98" s="24">
        <f>IFERROR(N94/N83,0)</f>
        <v>888.32095238095224</v>
      </c>
      <c r="O98" s="24">
        <f>IFERROR(O94/O83,0)</f>
        <v>908.96181818181822</v>
      </c>
      <c r="P98" s="24">
        <f>IFERROR(P94/P83,0)</f>
        <v>887.10119999999995</v>
      </c>
      <c r="Q98" s="24">
        <f>IFERROR(Q94/Q83,0)</f>
        <v>874.63481481481506</v>
      </c>
    </row>
    <row r="99" spans="1:107" x14ac:dyDescent="0.3">
      <c r="E99" s="5" t="s">
        <v>1</v>
      </c>
      <c r="F99" s="8">
        <v>0</v>
      </c>
      <c r="G99" s="56">
        <v>0</v>
      </c>
      <c r="H99" s="56">
        <v>0</v>
      </c>
      <c r="I99" s="56">
        <v>0</v>
      </c>
      <c r="J99" s="56">
        <v>0</v>
      </c>
      <c r="K99" s="56">
        <v>0</v>
      </c>
      <c r="L99" s="56">
        <v>0</v>
      </c>
      <c r="M99" s="56">
        <v>0</v>
      </c>
      <c r="N99" s="56">
        <v>0</v>
      </c>
      <c r="O99" s="56">
        <v>0</v>
      </c>
      <c r="P99" s="56">
        <v>0</v>
      </c>
      <c r="Q99" s="56">
        <v>0</v>
      </c>
    </row>
    <row r="100" spans="1:107" x14ac:dyDescent="0.3">
      <c r="E100" s="5" t="s">
        <v>0</v>
      </c>
      <c r="F100" s="8">
        <v>0</v>
      </c>
      <c r="G100" s="56">
        <v>0</v>
      </c>
      <c r="H100" s="56">
        <v>0</v>
      </c>
      <c r="I100" s="56">
        <v>0</v>
      </c>
      <c r="J100" s="56">
        <v>0</v>
      </c>
      <c r="K100" s="56">
        <v>0</v>
      </c>
      <c r="L100" s="56">
        <v>0</v>
      </c>
      <c r="M100" s="56">
        <v>0</v>
      </c>
      <c r="N100" s="56">
        <v>0</v>
      </c>
      <c r="O100" s="56">
        <v>0</v>
      </c>
      <c r="P100" s="56">
        <v>0</v>
      </c>
      <c r="Q100" s="56">
        <v>0</v>
      </c>
    </row>
    <row r="101" spans="1:107" s="2" customFormat="1" ht="3" customHeight="1" x14ac:dyDescent="0.3">
      <c r="F101" s="55"/>
      <c r="G101" s="55"/>
      <c r="H101" s="55"/>
      <c r="I101" s="61"/>
      <c r="J101" s="55"/>
      <c r="K101" s="60"/>
      <c r="L101" s="29"/>
      <c r="M101" s="29"/>
      <c r="N101" s="29"/>
      <c r="O101" s="29"/>
      <c r="P101" s="29"/>
      <c r="Q101" s="29"/>
      <c r="S101" s="28"/>
      <c r="T101" s="28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s="2" customFormat="1" x14ac:dyDescent="0.3">
      <c r="A102" s="1"/>
      <c r="B102" s="1"/>
      <c r="C102" s="1"/>
      <c r="E102" s="54" t="s">
        <v>33</v>
      </c>
      <c r="F102" s="54" t="s">
        <v>32</v>
      </c>
      <c r="G102" s="54" t="s">
        <v>31</v>
      </c>
      <c r="H102" s="54" t="s">
        <v>30</v>
      </c>
      <c r="I102" s="54" t="s">
        <v>29</v>
      </c>
      <c r="J102" s="54" t="s">
        <v>28</v>
      </c>
      <c r="K102" s="54" t="s">
        <v>27</v>
      </c>
      <c r="L102" s="54" t="s">
        <v>26</v>
      </c>
      <c r="M102" s="54" t="s">
        <v>25</v>
      </c>
      <c r="N102" s="54" t="s">
        <v>24</v>
      </c>
      <c r="O102" s="54" t="s">
        <v>23</v>
      </c>
      <c r="P102" s="54" t="s">
        <v>22</v>
      </c>
      <c r="Q102" s="54" t="s">
        <v>21</v>
      </c>
      <c r="S102" s="28"/>
      <c r="T102" s="28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x14ac:dyDescent="0.3">
      <c r="E103" s="5" t="s">
        <v>20</v>
      </c>
      <c r="F103" s="8">
        <v>0</v>
      </c>
      <c r="G103" s="80">
        <v>0</v>
      </c>
      <c r="H103" s="80">
        <v>0</v>
      </c>
      <c r="I103" s="80">
        <v>0</v>
      </c>
      <c r="J103" s="80">
        <v>0</v>
      </c>
      <c r="K103" s="80">
        <v>0</v>
      </c>
      <c r="L103" s="80">
        <v>0</v>
      </c>
      <c r="M103" s="80">
        <v>0</v>
      </c>
      <c r="N103" s="80">
        <v>0</v>
      </c>
      <c r="O103" s="80">
        <v>0</v>
      </c>
      <c r="P103" s="80">
        <v>0</v>
      </c>
      <c r="Q103" s="80">
        <v>0</v>
      </c>
    </row>
    <row r="104" spans="1:107" s="2" customFormat="1" x14ac:dyDescent="0.3">
      <c r="A104" s="1"/>
      <c r="B104" s="1"/>
      <c r="C104" s="1"/>
      <c r="E104" s="5" t="s">
        <v>19</v>
      </c>
      <c r="F104" s="8">
        <f>SUM(F105:F106)</f>
        <v>10</v>
      </c>
      <c r="G104" s="8">
        <f>SUM(G105:G106)</f>
        <v>9</v>
      </c>
      <c r="H104" s="8">
        <f>SUM(H105:H106)</f>
        <v>8</v>
      </c>
      <c r="I104" s="8">
        <f>SUM(I105:I106)</f>
        <v>11</v>
      </c>
      <c r="J104" s="8">
        <f>SUM(J105:J106)</f>
        <v>15</v>
      </c>
      <c r="K104" s="8">
        <v>23</v>
      </c>
      <c r="L104" s="8">
        <f>SUM(L105:L106)</f>
        <v>27</v>
      </c>
      <c r="M104" s="8">
        <f>SUM(M105:M106)</f>
        <v>63</v>
      </c>
      <c r="N104" s="8">
        <f>SUM(N105:N106)</f>
        <v>119</v>
      </c>
      <c r="O104" s="8">
        <f>SUM(O105:O106)</f>
        <v>183</v>
      </c>
      <c r="P104" s="8">
        <f>SUM(P105:P106)</f>
        <v>247</v>
      </c>
      <c r="Q104" s="8">
        <f>SUM(Q105:Q106)</f>
        <v>289</v>
      </c>
      <c r="S104" s="28"/>
      <c r="T104" s="28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s="2" customFormat="1" x14ac:dyDescent="0.3">
      <c r="A105" s="1"/>
      <c r="B105" s="1"/>
      <c r="C105" s="1"/>
      <c r="E105" s="14" t="s">
        <v>41</v>
      </c>
      <c r="F105" s="8">
        <v>0</v>
      </c>
      <c r="G105" s="80">
        <v>0</v>
      </c>
      <c r="H105" s="80">
        <v>0</v>
      </c>
      <c r="I105" s="80">
        <v>0</v>
      </c>
      <c r="J105" s="80">
        <v>0</v>
      </c>
      <c r="K105" s="80">
        <v>0</v>
      </c>
      <c r="L105" s="80">
        <v>0</v>
      </c>
      <c r="M105" s="80">
        <v>0</v>
      </c>
      <c r="N105" s="80">
        <v>0</v>
      </c>
      <c r="O105" s="80">
        <v>0</v>
      </c>
      <c r="P105" s="80">
        <v>0</v>
      </c>
      <c r="Q105" s="80">
        <v>0</v>
      </c>
      <c r="S105" s="28"/>
      <c r="T105" s="28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s="2" customFormat="1" x14ac:dyDescent="0.3">
      <c r="A106" s="1"/>
      <c r="B106" s="1"/>
      <c r="C106" s="1"/>
      <c r="E106" s="14" t="s">
        <v>40</v>
      </c>
      <c r="F106" s="8">
        <v>10</v>
      </c>
      <c r="G106" s="80">
        <v>9</v>
      </c>
      <c r="H106" s="80">
        <v>8</v>
      </c>
      <c r="I106" s="80">
        <v>11</v>
      </c>
      <c r="J106" s="80">
        <v>15</v>
      </c>
      <c r="K106" s="80">
        <v>23</v>
      </c>
      <c r="L106" s="80">
        <v>27</v>
      </c>
      <c r="M106" s="80">
        <v>63</v>
      </c>
      <c r="N106" s="80">
        <v>119</v>
      </c>
      <c r="O106" s="80">
        <v>183</v>
      </c>
      <c r="P106" s="80">
        <v>247</v>
      </c>
      <c r="Q106" s="80">
        <v>289</v>
      </c>
      <c r="S106" s="28"/>
      <c r="T106" s="28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s="2" customFormat="1" x14ac:dyDescent="0.3">
      <c r="A107" s="1"/>
      <c r="B107" s="1"/>
      <c r="C107" s="1"/>
      <c r="E107" s="5" t="s">
        <v>39</v>
      </c>
      <c r="F107" s="8">
        <f>SUM(F110:F114)</f>
        <v>1</v>
      </c>
      <c r="G107" s="8">
        <f>SUM(G110:G114)</f>
        <v>1</v>
      </c>
      <c r="H107" s="8">
        <f>SUM(H110:H114)</f>
        <v>1</v>
      </c>
      <c r="I107" s="8">
        <f>SUM(I110:I114)</f>
        <v>0</v>
      </c>
      <c r="J107" s="8">
        <f>SUM(J110:J114)</f>
        <v>0</v>
      </c>
      <c r="K107" s="8">
        <v>5</v>
      </c>
      <c r="L107" s="8">
        <f>SUM(L110:L114)</f>
        <v>3</v>
      </c>
      <c r="M107" s="8">
        <f>SUM(M110:M114)</f>
        <v>2</v>
      </c>
      <c r="N107" s="8">
        <f>SUM(N110:N114)</f>
        <v>5</v>
      </c>
      <c r="O107" s="8">
        <f>SUM(O110:O114)</f>
        <v>11</v>
      </c>
      <c r="P107" s="8">
        <f>SUM(P110:P114)</f>
        <v>11</v>
      </c>
      <c r="Q107" s="8">
        <f>SUM(Q110:Q114)</f>
        <v>15</v>
      </c>
      <c r="S107" s="28"/>
      <c r="T107" s="28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s="2" customFormat="1" ht="12.6" customHeight="1" x14ac:dyDescent="0.3">
      <c r="A108" s="1"/>
      <c r="B108" s="1"/>
      <c r="C108" s="1"/>
      <c r="E108" s="5" t="s">
        <v>15</v>
      </c>
      <c r="F108" s="8">
        <v>0</v>
      </c>
      <c r="G108" s="81">
        <v>0</v>
      </c>
      <c r="H108" s="81">
        <v>1</v>
      </c>
      <c r="I108" s="81">
        <v>0</v>
      </c>
      <c r="J108" s="81">
        <v>2</v>
      </c>
      <c r="K108" s="81">
        <v>2</v>
      </c>
      <c r="L108" s="81">
        <v>0</v>
      </c>
      <c r="M108" s="81">
        <v>0</v>
      </c>
      <c r="N108" s="81">
        <v>1</v>
      </c>
      <c r="O108" s="81">
        <v>0</v>
      </c>
      <c r="P108" s="81">
        <v>0</v>
      </c>
      <c r="Q108" s="81">
        <v>0</v>
      </c>
      <c r="S108" s="28"/>
      <c r="T108" s="28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s="2" customFormat="1" x14ac:dyDescent="0.3">
      <c r="A109" s="1"/>
      <c r="B109" s="1"/>
      <c r="C109" s="1"/>
      <c r="E109" s="5" t="s">
        <v>14</v>
      </c>
      <c r="F109" s="10">
        <f>IFERROR(F107/'Relatório Indicadores 24'!Q215,0)</f>
        <v>9.0909090909090912E-2</v>
      </c>
      <c r="G109" s="10">
        <f>IFERROR(G107/F104,0)</f>
        <v>0.1</v>
      </c>
      <c r="H109" s="10">
        <f>IFERROR(H107/G104,0)</f>
        <v>0.1111111111111111</v>
      </c>
      <c r="I109" s="10">
        <f>IFERROR(I107/H104,0)</f>
        <v>0</v>
      </c>
      <c r="J109" s="10">
        <f>IFERROR(J107/I104,0)</f>
        <v>0</v>
      </c>
      <c r="K109" s="10">
        <v>0.33333333333333331</v>
      </c>
      <c r="L109" s="10">
        <f>IFERROR(L107/K104,0)</f>
        <v>0.13043478260869565</v>
      </c>
      <c r="M109" s="10">
        <f>IFERROR(M107/L104,0)</f>
        <v>7.407407407407407E-2</v>
      </c>
      <c r="N109" s="10">
        <f>IFERROR(N107/M104,0)</f>
        <v>7.9365079365079361E-2</v>
      </c>
      <c r="O109" s="10">
        <f>IFERROR(O107/N104,0)</f>
        <v>9.2436974789915971E-2</v>
      </c>
      <c r="P109" s="10">
        <f>IFERROR(P107/O104,0)</f>
        <v>6.0109289617486336E-2</v>
      </c>
      <c r="Q109" s="10">
        <f>IFERROR(Q107/P104,0)</f>
        <v>6.0728744939271252E-2</v>
      </c>
      <c r="S109" s="28"/>
      <c r="T109" s="28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s="2" customFormat="1" x14ac:dyDescent="0.3">
      <c r="A110" s="1"/>
      <c r="B110" s="1"/>
      <c r="C110" s="1"/>
      <c r="E110" s="5" t="s">
        <v>13</v>
      </c>
      <c r="F110" s="8">
        <v>0</v>
      </c>
      <c r="G110" s="80">
        <v>0</v>
      </c>
      <c r="H110" s="80">
        <v>0</v>
      </c>
      <c r="I110" s="80">
        <v>0</v>
      </c>
      <c r="J110" s="80">
        <v>0</v>
      </c>
      <c r="K110" s="80">
        <v>0</v>
      </c>
      <c r="L110" s="80">
        <v>0</v>
      </c>
      <c r="M110" s="80">
        <v>2</v>
      </c>
      <c r="N110" s="80">
        <v>2</v>
      </c>
      <c r="O110" s="80">
        <v>5</v>
      </c>
      <c r="P110" s="80">
        <v>8</v>
      </c>
      <c r="Q110" s="80">
        <v>11</v>
      </c>
      <c r="S110" s="28"/>
      <c r="T110" s="28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s="2" customFormat="1" x14ac:dyDescent="0.3">
      <c r="A111" s="1"/>
      <c r="B111" s="1"/>
      <c r="C111" s="1"/>
      <c r="E111" s="5" t="s">
        <v>12</v>
      </c>
      <c r="F111" s="8">
        <v>1</v>
      </c>
      <c r="G111" s="80">
        <v>1</v>
      </c>
      <c r="H111" s="80">
        <v>1</v>
      </c>
      <c r="I111" s="80">
        <v>0</v>
      </c>
      <c r="J111" s="80">
        <v>0</v>
      </c>
      <c r="K111" s="80">
        <v>5</v>
      </c>
      <c r="L111" s="80">
        <v>3</v>
      </c>
      <c r="M111" s="80">
        <v>0</v>
      </c>
      <c r="N111" s="80">
        <v>3</v>
      </c>
      <c r="O111" s="80">
        <v>3</v>
      </c>
      <c r="P111" s="80">
        <v>3</v>
      </c>
      <c r="Q111" s="80">
        <v>2</v>
      </c>
      <c r="S111" s="28"/>
      <c r="T111" s="28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s="2" customFormat="1" x14ac:dyDescent="0.3">
      <c r="A112" s="1"/>
      <c r="B112" s="1"/>
      <c r="C112" s="1"/>
      <c r="E112" s="5" t="s">
        <v>11</v>
      </c>
      <c r="F112" s="8">
        <v>0</v>
      </c>
      <c r="G112" s="80">
        <v>0</v>
      </c>
      <c r="H112" s="80">
        <v>0</v>
      </c>
      <c r="I112" s="80">
        <v>0</v>
      </c>
      <c r="J112" s="80">
        <v>0</v>
      </c>
      <c r="K112" s="80">
        <v>0</v>
      </c>
      <c r="L112" s="80">
        <v>0</v>
      </c>
      <c r="M112" s="80">
        <v>0</v>
      </c>
      <c r="N112" s="80">
        <v>0</v>
      </c>
      <c r="O112" s="80">
        <v>0</v>
      </c>
      <c r="P112" s="80">
        <v>0</v>
      </c>
      <c r="Q112" s="80">
        <v>1</v>
      </c>
      <c r="S112" s="28"/>
      <c r="T112" s="28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s="2" customFormat="1" x14ac:dyDescent="0.3">
      <c r="A113" s="1"/>
      <c r="B113" s="1"/>
      <c r="C113" s="1"/>
      <c r="E113" s="5" t="s">
        <v>50</v>
      </c>
      <c r="F113" s="8">
        <v>0</v>
      </c>
      <c r="G113" s="79">
        <v>0</v>
      </c>
      <c r="H113" s="79">
        <v>0</v>
      </c>
      <c r="I113" s="79">
        <v>0</v>
      </c>
      <c r="J113" s="79">
        <v>0</v>
      </c>
      <c r="K113" s="79">
        <v>0</v>
      </c>
      <c r="L113" s="79">
        <v>0</v>
      </c>
      <c r="M113" s="79">
        <v>0</v>
      </c>
      <c r="N113" s="79">
        <v>0</v>
      </c>
      <c r="O113" s="79">
        <v>0</v>
      </c>
      <c r="P113" s="79">
        <v>0</v>
      </c>
      <c r="Q113" s="79">
        <v>0</v>
      </c>
      <c r="S113" s="28"/>
      <c r="T113" s="28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s="2" customFormat="1" x14ac:dyDescent="0.3">
      <c r="A114" s="1"/>
      <c r="B114" s="1"/>
      <c r="C114" s="1"/>
      <c r="E114" s="5" t="s">
        <v>46</v>
      </c>
      <c r="F114" s="8">
        <v>0</v>
      </c>
      <c r="G114" s="79">
        <v>0</v>
      </c>
      <c r="H114" s="79">
        <v>0</v>
      </c>
      <c r="I114" s="79">
        <v>0</v>
      </c>
      <c r="J114" s="79">
        <v>0</v>
      </c>
      <c r="K114" s="79">
        <v>0</v>
      </c>
      <c r="L114" s="79">
        <v>0</v>
      </c>
      <c r="M114" s="79">
        <v>0</v>
      </c>
      <c r="N114" s="79">
        <v>0</v>
      </c>
      <c r="O114" s="79">
        <v>3</v>
      </c>
      <c r="P114" s="79">
        <v>0</v>
      </c>
      <c r="Q114" s="79">
        <v>1</v>
      </c>
      <c r="S114" s="28"/>
      <c r="T114" s="28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s="2" customFormat="1" x14ac:dyDescent="0.3">
      <c r="A115" s="1"/>
      <c r="B115" s="1"/>
      <c r="C115" s="1"/>
      <c r="E115" s="5" t="s">
        <v>6</v>
      </c>
      <c r="F115" s="23">
        <v>10880.04</v>
      </c>
      <c r="G115" s="23">
        <v>10350.91</v>
      </c>
      <c r="H115" s="23">
        <v>10398.170000000002</v>
      </c>
      <c r="I115" s="23">
        <v>8715.7099999999991</v>
      </c>
      <c r="J115" s="23">
        <v>10520.76</v>
      </c>
      <c r="K115" s="23">
        <v>12742.73</v>
      </c>
      <c r="L115" s="23">
        <v>11865.089999999998</v>
      </c>
      <c r="M115" s="23">
        <v>19120.079999999994</v>
      </c>
      <c r="N115" s="23">
        <v>35172.910000000018</v>
      </c>
      <c r="O115" s="23">
        <v>50913.499999999964</v>
      </c>
      <c r="P115" s="23">
        <v>67525.839999999967</v>
      </c>
      <c r="Q115" s="23">
        <v>79481.830000000045</v>
      </c>
      <c r="S115" s="28"/>
      <c r="T115" s="28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s="2" customFormat="1" x14ac:dyDescent="0.3">
      <c r="A116" s="1"/>
      <c r="B116" s="1"/>
      <c r="C116" s="1"/>
      <c r="E116" s="5" t="s">
        <v>5</v>
      </c>
      <c r="F116" s="23">
        <v>8974.8000000000011</v>
      </c>
      <c r="G116" s="23">
        <v>8445.67</v>
      </c>
      <c r="H116" s="23">
        <v>9088.8000000000011</v>
      </c>
      <c r="I116" s="23">
        <v>6810.47</v>
      </c>
      <c r="J116" s="23">
        <v>9924.89</v>
      </c>
      <c r="K116" s="23">
        <v>10770.97</v>
      </c>
      <c r="L116" s="23">
        <v>10709.279999999999</v>
      </c>
      <c r="M116" s="23">
        <v>16837.399999999994</v>
      </c>
      <c r="N116" s="23">
        <v>31466.940000000017</v>
      </c>
      <c r="O116" s="23">
        <v>43830.319999999963</v>
      </c>
      <c r="P116" s="23">
        <v>56305.199999999961</v>
      </c>
      <c r="Q116" s="23">
        <v>64857.320000000043</v>
      </c>
      <c r="S116" s="28"/>
      <c r="T116" s="28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s="2" customFormat="1" x14ac:dyDescent="0.3">
      <c r="A117" s="1"/>
      <c r="B117" s="1"/>
      <c r="C117" s="1"/>
      <c r="E117" s="5" t="s">
        <v>49</v>
      </c>
      <c r="F117" s="10">
        <f>IFERROR((1-F116/F115),0)</f>
        <v>0.17511332678923974</v>
      </c>
      <c r="G117" s="10">
        <f>IFERROR((1-G116/G115),0)</f>
        <v>0.18406497592965254</v>
      </c>
      <c r="H117" s="10">
        <f>IFERROR((1-H116/H115),0)</f>
        <v>0.1259231191642376</v>
      </c>
      <c r="I117" s="10">
        <f>IFERROR((1-I116/I115),0)</f>
        <v>0.21859837006967864</v>
      </c>
      <c r="J117" s="10">
        <f>IFERROR((1-J116/J115),0)</f>
        <v>5.6637543295351311E-2</v>
      </c>
      <c r="K117" s="10">
        <v>0.15473607303929382</v>
      </c>
      <c r="L117" s="10">
        <f>IFERROR((1-L116/L115),0)</f>
        <v>9.7412661850858284E-2</v>
      </c>
      <c r="M117" s="10">
        <f>IFERROR((1-M116/M115),0)</f>
        <v>0.11938652976347386</v>
      </c>
      <c r="N117" s="10">
        <f>IFERROR((1-N116/N115),0)</f>
        <v>0.10536432726208889</v>
      </c>
      <c r="O117" s="10">
        <f>IFERROR((1-O116/O115),0)</f>
        <v>0.13912184391173277</v>
      </c>
      <c r="P117" s="10">
        <f>IFERROR((1-P116/P115),0)</f>
        <v>0.1661680920962999</v>
      </c>
      <c r="Q117" s="10">
        <f>IFERROR((1-Q116/Q115),0)</f>
        <v>0.18399815404350894</v>
      </c>
      <c r="S117" s="28"/>
      <c r="T117" s="28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x14ac:dyDescent="0.3">
      <c r="E118" s="5" t="s">
        <v>3</v>
      </c>
      <c r="F118" s="8">
        <v>0</v>
      </c>
      <c r="G118" s="8">
        <v>0</v>
      </c>
      <c r="H118" s="8">
        <v>0</v>
      </c>
      <c r="I118" s="8">
        <v>3</v>
      </c>
      <c r="J118" s="8">
        <v>4</v>
      </c>
      <c r="K118" s="8">
        <v>10</v>
      </c>
      <c r="L118" s="8">
        <v>7</v>
      </c>
      <c r="M118" s="8">
        <v>38</v>
      </c>
      <c r="N118" s="8">
        <v>59</v>
      </c>
      <c r="O118" s="8">
        <v>71</v>
      </c>
      <c r="P118" s="8">
        <v>74</v>
      </c>
      <c r="Q118" s="8">
        <v>56</v>
      </c>
    </row>
    <row r="119" spans="1:107" x14ac:dyDescent="0.3">
      <c r="E119" s="5" t="s">
        <v>2</v>
      </c>
      <c r="F119" s="24">
        <f>IFERROR(F115/F104,0)</f>
        <v>1088.0040000000001</v>
      </c>
      <c r="G119" s="24">
        <f>IFERROR(G115/G104,0)</f>
        <v>1150.1011111111111</v>
      </c>
      <c r="H119" s="24">
        <f>IFERROR(H115/H104,0)</f>
        <v>1299.7712500000002</v>
      </c>
      <c r="I119" s="24">
        <f>IFERROR(I115/I104,0)</f>
        <v>792.33727272727265</v>
      </c>
      <c r="J119" s="24">
        <f>IFERROR(J115/J104,0)</f>
        <v>701.38400000000001</v>
      </c>
      <c r="K119" s="24">
        <v>554.03173913043474</v>
      </c>
      <c r="L119" s="24">
        <f>IFERROR(L115/L104,0)</f>
        <v>439.44777777777773</v>
      </c>
      <c r="M119" s="24">
        <f>IFERROR(M115/M104,0)</f>
        <v>303.49333333333323</v>
      </c>
      <c r="N119" s="24">
        <f>IFERROR(N115/N104,0)</f>
        <v>295.57067226890774</v>
      </c>
      <c r="O119" s="24">
        <f>IFERROR(O115/O104,0)</f>
        <v>278.2158469945353</v>
      </c>
      <c r="P119" s="24">
        <f>IFERROR(P115/P104,0)</f>
        <v>273.38396761133589</v>
      </c>
      <c r="Q119" s="24">
        <f>IFERROR(Q115/Q104,0)</f>
        <v>275.02363321799322</v>
      </c>
    </row>
    <row r="120" spans="1:107" x14ac:dyDescent="0.3">
      <c r="E120" s="5" t="s">
        <v>1</v>
      </c>
      <c r="F120" s="8">
        <v>0</v>
      </c>
      <c r="G120" s="56">
        <v>0</v>
      </c>
      <c r="H120" s="56">
        <v>0</v>
      </c>
      <c r="I120" s="56">
        <v>0</v>
      </c>
      <c r="J120" s="56">
        <v>0</v>
      </c>
      <c r="K120" s="56">
        <v>0</v>
      </c>
      <c r="L120" s="56">
        <v>0</v>
      </c>
      <c r="M120" s="56">
        <v>0</v>
      </c>
      <c r="N120" s="56">
        <v>0</v>
      </c>
      <c r="O120" s="56">
        <v>0</v>
      </c>
      <c r="P120" s="56">
        <v>0</v>
      </c>
      <c r="Q120" s="56">
        <v>0</v>
      </c>
    </row>
    <row r="121" spans="1:107" x14ac:dyDescent="0.3">
      <c r="E121" s="5" t="s">
        <v>0</v>
      </c>
      <c r="F121" s="8">
        <v>0</v>
      </c>
      <c r="G121" s="56">
        <v>0</v>
      </c>
      <c r="H121" s="56">
        <v>0</v>
      </c>
      <c r="I121" s="56">
        <v>0</v>
      </c>
      <c r="J121" s="56">
        <v>0</v>
      </c>
      <c r="K121" s="56">
        <v>0</v>
      </c>
      <c r="L121" s="56">
        <v>0</v>
      </c>
      <c r="M121" s="56">
        <v>0</v>
      </c>
      <c r="N121" s="56">
        <v>0</v>
      </c>
      <c r="O121" s="56">
        <v>0</v>
      </c>
      <c r="P121" s="56">
        <v>0</v>
      </c>
      <c r="Q121" s="56">
        <v>0</v>
      </c>
    </row>
    <row r="122" spans="1:107" s="2" customFormat="1" ht="3" customHeight="1" x14ac:dyDescent="0.3">
      <c r="F122" s="55"/>
      <c r="G122" s="55"/>
      <c r="H122" s="55"/>
      <c r="I122" s="61"/>
      <c r="J122" s="55"/>
      <c r="K122" s="60"/>
      <c r="L122" s="29"/>
      <c r="M122" s="29"/>
      <c r="N122" s="29"/>
      <c r="O122" s="29"/>
      <c r="P122" s="29"/>
      <c r="Q122" s="29"/>
      <c r="S122" s="28"/>
      <c r="T122" s="28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s="2" customFormat="1" x14ac:dyDescent="0.3">
      <c r="A123" s="1"/>
      <c r="B123" s="1"/>
      <c r="C123" s="1"/>
      <c r="E123" s="54" t="s">
        <v>33</v>
      </c>
      <c r="F123" s="54" t="s">
        <v>32</v>
      </c>
      <c r="G123" s="54" t="s">
        <v>31</v>
      </c>
      <c r="H123" s="54" t="s">
        <v>30</v>
      </c>
      <c r="I123" s="54" t="s">
        <v>29</v>
      </c>
      <c r="J123" s="54" t="s">
        <v>28</v>
      </c>
      <c r="K123" s="54" t="s">
        <v>27</v>
      </c>
      <c r="L123" s="54" t="s">
        <v>26</v>
      </c>
      <c r="M123" s="54" t="s">
        <v>25</v>
      </c>
      <c r="N123" s="54" t="s">
        <v>24</v>
      </c>
      <c r="O123" s="54" t="s">
        <v>23</v>
      </c>
      <c r="P123" s="54" t="s">
        <v>22</v>
      </c>
      <c r="Q123" s="54" t="s">
        <v>21</v>
      </c>
      <c r="S123" s="28"/>
      <c r="T123" s="28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x14ac:dyDescent="0.3">
      <c r="E124" s="5" t="s">
        <v>20</v>
      </c>
      <c r="F124" s="8">
        <v>0</v>
      </c>
      <c r="G124" s="80">
        <v>0</v>
      </c>
      <c r="H124" s="80">
        <v>0</v>
      </c>
      <c r="I124" s="80">
        <v>0</v>
      </c>
      <c r="J124" s="80">
        <v>0</v>
      </c>
      <c r="K124" s="80">
        <v>0</v>
      </c>
      <c r="L124" s="80">
        <v>0</v>
      </c>
      <c r="M124" s="80">
        <v>0</v>
      </c>
      <c r="N124" s="80">
        <v>0</v>
      </c>
      <c r="O124" s="80">
        <v>0</v>
      </c>
      <c r="P124" s="80">
        <v>0</v>
      </c>
      <c r="Q124" s="80">
        <v>0</v>
      </c>
    </row>
    <row r="125" spans="1:107" s="2" customFormat="1" x14ac:dyDescent="0.3">
      <c r="A125" s="1"/>
      <c r="B125" s="1"/>
      <c r="C125" s="1"/>
      <c r="E125" s="5" t="s">
        <v>19</v>
      </c>
      <c r="F125" s="8">
        <f>SUM(F126:F127)</f>
        <v>267</v>
      </c>
      <c r="G125" s="8">
        <f>SUM(G126:G127)</f>
        <v>248</v>
      </c>
      <c r="H125" s="8">
        <f>SUM(H126:H127)</f>
        <v>247</v>
      </c>
      <c r="I125" s="8">
        <f>SUM(I126:I127)</f>
        <v>236</v>
      </c>
      <c r="J125" s="8">
        <f>SUM(J126:J127)</f>
        <v>219</v>
      </c>
      <c r="K125" s="8">
        <v>206</v>
      </c>
      <c r="L125" s="8">
        <f>SUM(L126:L127)</f>
        <v>162</v>
      </c>
      <c r="M125" s="8">
        <f>SUM(M126:M127)</f>
        <v>93</v>
      </c>
      <c r="N125" s="8">
        <f>SUM(N126:N127)</f>
        <v>73</v>
      </c>
      <c r="O125" s="8">
        <f>SUM(O126:O127)</f>
        <v>52</v>
      </c>
      <c r="P125" s="8">
        <f>SUM(P126:P127)</f>
        <v>45</v>
      </c>
      <c r="Q125" s="8">
        <f>SUM(Q126:Q127)</f>
        <v>37</v>
      </c>
      <c r="S125" s="28"/>
      <c r="T125" s="28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s="2" customFormat="1" x14ac:dyDescent="0.3">
      <c r="A126" s="1"/>
      <c r="B126" s="1"/>
      <c r="C126" s="1"/>
      <c r="E126" s="14" t="s">
        <v>41</v>
      </c>
      <c r="F126" s="8">
        <v>0</v>
      </c>
      <c r="G126" s="80">
        <v>0</v>
      </c>
      <c r="H126" s="80">
        <v>0</v>
      </c>
      <c r="I126" s="80">
        <v>0</v>
      </c>
      <c r="J126" s="80">
        <v>0</v>
      </c>
      <c r="K126" s="80">
        <v>0</v>
      </c>
      <c r="L126" s="80">
        <v>0</v>
      </c>
      <c r="M126" s="80">
        <v>0</v>
      </c>
      <c r="N126" s="80">
        <v>0</v>
      </c>
      <c r="O126" s="80">
        <v>0</v>
      </c>
      <c r="P126" s="80">
        <v>0</v>
      </c>
      <c r="Q126" s="80">
        <v>0</v>
      </c>
      <c r="S126" s="28"/>
      <c r="T126" s="28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s="2" customFormat="1" x14ac:dyDescent="0.3">
      <c r="A127" s="1"/>
      <c r="B127" s="1"/>
      <c r="C127" s="1"/>
      <c r="E127" s="14" t="s">
        <v>40</v>
      </c>
      <c r="F127" s="8">
        <v>267</v>
      </c>
      <c r="G127" s="80">
        <v>248</v>
      </c>
      <c r="H127" s="80">
        <v>247</v>
      </c>
      <c r="I127" s="80">
        <v>236</v>
      </c>
      <c r="J127" s="80">
        <v>219</v>
      </c>
      <c r="K127" s="80">
        <v>206</v>
      </c>
      <c r="L127" s="80">
        <v>162</v>
      </c>
      <c r="M127" s="80">
        <v>93</v>
      </c>
      <c r="N127" s="80">
        <v>73</v>
      </c>
      <c r="O127" s="80">
        <v>52</v>
      </c>
      <c r="P127" s="80">
        <v>45</v>
      </c>
      <c r="Q127" s="80">
        <v>37</v>
      </c>
      <c r="S127" s="28"/>
      <c r="T127" s="28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s="2" customFormat="1" x14ac:dyDescent="0.3">
      <c r="A128" s="1"/>
      <c r="B128" s="1"/>
      <c r="C128" s="1"/>
      <c r="E128" s="5" t="s">
        <v>39</v>
      </c>
      <c r="F128" s="8">
        <f>SUM(F131:F135)</f>
        <v>17</v>
      </c>
      <c r="G128" s="8">
        <f>SUM(G131:G135)</f>
        <v>19</v>
      </c>
      <c r="H128" s="8">
        <f>SUM(H131:H135)</f>
        <v>5</v>
      </c>
      <c r="I128" s="8">
        <f>SUM(I131:I135)</f>
        <v>10</v>
      </c>
      <c r="J128" s="8">
        <f>SUM(J131:J135)</f>
        <v>14</v>
      </c>
      <c r="K128" s="8">
        <v>13</v>
      </c>
      <c r="L128" s="8">
        <f>SUM(L131:L135)</f>
        <v>42</v>
      </c>
      <c r="M128" s="8">
        <f>SUM(M131:M135)</f>
        <v>54</v>
      </c>
      <c r="N128" s="8">
        <f>SUM(N131:N135)</f>
        <v>11</v>
      </c>
      <c r="O128" s="8">
        <f>SUM(O131:O135)</f>
        <v>17</v>
      </c>
      <c r="P128" s="8">
        <f>SUM(P131:P135)</f>
        <v>5</v>
      </c>
      <c r="Q128" s="8">
        <f>SUM(Q131:Q135)</f>
        <v>8</v>
      </c>
      <c r="S128" s="28"/>
      <c r="T128" s="28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s="2" customFormat="1" x14ac:dyDescent="0.3">
      <c r="A129" s="1"/>
      <c r="B129" s="1"/>
      <c r="C129" s="1"/>
      <c r="E129" s="5" t="s">
        <v>15</v>
      </c>
      <c r="F129" s="8">
        <v>12</v>
      </c>
      <c r="G129" s="81">
        <v>0</v>
      </c>
      <c r="H129" s="81">
        <v>11</v>
      </c>
      <c r="I129" s="81">
        <v>9</v>
      </c>
      <c r="J129" s="81">
        <v>13</v>
      </c>
      <c r="K129" s="81">
        <v>2</v>
      </c>
      <c r="L129" s="81">
        <v>4</v>
      </c>
      <c r="M129" s="81">
        <v>20</v>
      </c>
      <c r="N129" s="81">
        <v>3</v>
      </c>
      <c r="O129" s="81">
        <v>1</v>
      </c>
      <c r="P129" s="81">
        <v>0</v>
      </c>
      <c r="Q129" s="81">
        <v>0</v>
      </c>
      <c r="S129" s="28"/>
      <c r="T129" s="28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s="2" customFormat="1" x14ac:dyDescent="0.3">
      <c r="A130" s="1"/>
      <c r="B130" s="1"/>
      <c r="C130" s="1"/>
      <c r="E130" s="5" t="s">
        <v>14</v>
      </c>
      <c r="F130" s="10">
        <f>IFERROR(F128/'Relatório Indicadores 24'!Q173,0)</f>
        <v>6.0283687943262408E-2</v>
      </c>
      <c r="G130" s="10">
        <f>IFERROR(G128/F125,0)</f>
        <v>7.116104868913857E-2</v>
      </c>
      <c r="H130" s="10">
        <f>IFERROR(H128/G125,0)</f>
        <v>2.0161290322580645E-2</v>
      </c>
      <c r="I130" s="10">
        <f>IFERROR(I128/H125,0)</f>
        <v>4.048582995951417E-2</v>
      </c>
      <c r="J130" s="10">
        <f>IFERROR(J128/I125,0)</f>
        <v>5.9322033898305086E-2</v>
      </c>
      <c r="K130" s="10">
        <v>5.9360730593607303E-2</v>
      </c>
      <c r="L130" s="10">
        <f>IFERROR(L128/K125,0)</f>
        <v>0.20388349514563106</v>
      </c>
      <c r="M130" s="10">
        <f>IFERROR(M128/L125,0)</f>
        <v>0.33333333333333331</v>
      </c>
      <c r="N130" s="10">
        <f>IFERROR(N128/M125,0)</f>
        <v>0.11827956989247312</v>
      </c>
      <c r="O130" s="10">
        <f>IFERROR(O128/N125,0)</f>
        <v>0.23287671232876711</v>
      </c>
      <c r="P130" s="10">
        <f>IFERROR(P128/O125,0)</f>
        <v>9.6153846153846159E-2</v>
      </c>
      <c r="Q130" s="10">
        <f>IFERROR(Q128/P125,0)</f>
        <v>0.17777777777777778</v>
      </c>
      <c r="S130" s="28"/>
      <c r="T130" s="28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s="2" customFormat="1" x14ac:dyDescent="0.3">
      <c r="A131" s="1"/>
      <c r="B131" s="1"/>
      <c r="C131" s="1"/>
      <c r="E131" s="5" t="s">
        <v>13</v>
      </c>
      <c r="F131" s="8">
        <v>4</v>
      </c>
      <c r="G131" s="80">
        <v>0</v>
      </c>
      <c r="H131" s="80">
        <v>0</v>
      </c>
      <c r="I131" s="80">
        <v>0</v>
      </c>
      <c r="J131" s="80">
        <v>2</v>
      </c>
      <c r="K131" s="80">
        <v>0</v>
      </c>
      <c r="L131" s="80">
        <v>3</v>
      </c>
      <c r="M131" s="80">
        <v>1</v>
      </c>
      <c r="N131" s="80">
        <v>4</v>
      </c>
      <c r="O131" s="80">
        <v>0</v>
      </c>
      <c r="P131" s="80">
        <v>0</v>
      </c>
      <c r="Q131" s="80">
        <v>0</v>
      </c>
      <c r="S131" s="28"/>
      <c r="T131" s="28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s="2" customFormat="1" x14ac:dyDescent="0.3">
      <c r="A132" s="1"/>
      <c r="B132" s="1"/>
      <c r="C132" s="1"/>
      <c r="E132" s="5" t="s">
        <v>12</v>
      </c>
      <c r="F132" s="8">
        <v>13</v>
      </c>
      <c r="G132" s="80">
        <v>19</v>
      </c>
      <c r="H132" s="80">
        <v>5</v>
      </c>
      <c r="I132" s="80">
        <v>10</v>
      </c>
      <c r="J132" s="80">
        <v>12</v>
      </c>
      <c r="K132" s="80">
        <v>13</v>
      </c>
      <c r="L132" s="80">
        <v>39</v>
      </c>
      <c r="M132" s="80">
        <v>53</v>
      </c>
      <c r="N132" s="80">
        <v>7</v>
      </c>
      <c r="O132" s="80">
        <v>17</v>
      </c>
      <c r="P132" s="80">
        <v>5</v>
      </c>
      <c r="Q132" s="80">
        <v>8</v>
      </c>
      <c r="S132" s="28"/>
      <c r="T132" s="28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s="2" customFormat="1" x14ac:dyDescent="0.3">
      <c r="A133" s="1"/>
      <c r="B133" s="1"/>
      <c r="C133" s="1"/>
      <c r="E133" s="5" t="s">
        <v>11</v>
      </c>
      <c r="F133" s="8">
        <v>0</v>
      </c>
      <c r="G133" s="80">
        <v>0</v>
      </c>
      <c r="H133" s="80">
        <v>0</v>
      </c>
      <c r="I133" s="80">
        <v>0</v>
      </c>
      <c r="J133" s="80">
        <v>0</v>
      </c>
      <c r="K133" s="80">
        <v>0</v>
      </c>
      <c r="L133" s="80">
        <v>0</v>
      </c>
      <c r="M133" s="80">
        <v>0</v>
      </c>
      <c r="N133" s="80">
        <v>0</v>
      </c>
      <c r="O133" s="80">
        <v>0</v>
      </c>
      <c r="P133" s="80">
        <v>0</v>
      </c>
      <c r="Q133" s="80">
        <v>0</v>
      </c>
      <c r="S133" s="28"/>
      <c r="T133" s="28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s="2" customFormat="1" x14ac:dyDescent="0.3">
      <c r="A134" s="1"/>
      <c r="B134" s="1"/>
      <c r="C134" s="1"/>
      <c r="E134" s="5" t="s">
        <v>50</v>
      </c>
      <c r="F134" s="42">
        <v>0</v>
      </c>
      <c r="G134" s="79">
        <v>0</v>
      </c>
      <c r="H134" s="79">
        <v>0</v>
      </c>
      <c r="I134" s="79">
        <v>0</v>
      </c>
      <c r="J134" s="79">
        <v>0</v>
      </c>
      <c r="K134" s="79">
        <v>0</v>
      </c>
      <c r="L134" s="79">
        <v>0</v>
      </c>
      <c r="M134" s="79">
        <v>0</v>
      </c>
      <c r="N134" s="79">
        <v>0</v>
      </c>
      <c r="O134" s="79">
        <v>0</v>
      </c>
      <c r="P134" s="79">
        <v>0</v>
      </c>
      <c r="Q134" s="79">
        <v>0</v>
      </c>
      <c r="S134" s="28"/>
      <c r="T134" s="28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s="2" customFormat="1" x14ac:dyDescent="0.3">
      <c r="A135" s="1"/>
      <c r="B135" s="1"/>
      <c r="C135" s="1"/>
      <c r="E135" s="5" t="s">
        <v>46</v>
      </c>
      <c r="F135" s="42">
        <v>0</v>
      </c>
      <c r="G135" s="79">
        <v>0</v>
      </c>
      <c r="H135" s="79">
        <v>0</v>
      </c>
      <c r="I135" s="79">
        <v>0</v>
      </c>
      <c r="J135" s="79">
        <v>0</v>
      </c>
      <c r="K135" s="79">
        <v>0</v>
      </c>
      <c r="L135" s="79">
        <v>0</v>
      </c>
      <c r="M135" s="79">
        <v>0</v>
      </c>
      <c r="N135" s="79">
        <v>0</v>
      </c>
      <c r="O135" s="79">
        <v>0</v>
      </c>
      <c r="P135" s="79">
        <v>0</v>
      </c>
      <c r="Q135" s="79">
        <v>0</v>
      </c>
      <c r="S135" s="28"/>
      <c r="T135" s="28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s="2" customFormat="1" x14ac:dyDescent="0.3">
      <c r="A136" s="1"/>
      <c r="B136" s="1"/>
      <c r="C136" s="1"/>
      <c r="E136" s="5" t="s">
        <v>6</v>
      </c>
      <c r="F136" s="23">
        <v>298517.0799999999</v>
      </c>
      <c r="G136" s="23">
        <v>281095.72999999992</v>
      </c>
      <c r="H136" s="23">
        <v>271682.62999999995</v>
      </c>
      <c r="I136" s="23">
        <v>260421.34999999992</v>
      </c>
      <c r="J136" s="23">
        <v>254909.7699999999</v>
      </c>
      <c r="K136" s="23">
        <v>241258.01</v>
      </c>
      <c r="L136" s="23">
        <v>230322.87999999989</v>
      </c>
      <c r="M136" s="23">
        <v>227847.99</v>
      </c>
      <c r="N136" s="23">
        <v>117052.71000000002</v>
      </c>
      <c r="O136" s="23">
        <v>86673.849999999977</v>
      </c>
      <c r="P136" s="23">
        <v>65932.919999999984</v>
      </c>
      <c r="Q136" s="23">
        <v>78012.199999999983</v>
      </c>
      <c r="S136" s="28"/>
      <c r="T136" s="28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s="2" customFormat="1" x14ac:dyDescent="0.3">
      <c r="A137" s="1"/>
      <c r="B137" s="1"/>
      <c r="C137" s="1"/>
      <c r="E137" s="5" t="s">
        <v>5</v>
      </c>
      <c r="F137" s="23">
        <v>290865.96999999991</v>
      </c>
      <c r="G137" s="23">
        <v>280452.92999999993</v>
      </c>
      <c r="H137" s="23">
        <v>270872.73999999993</v>
      </c>
      <c r="I137" s="23">
        <v>259693.38999999993</v>
      </c>
      <c r="J137" s="23">
        <v>253371.9199999999</v>
      </c>
      <c r="K137" s="23">
        <v>233364.40000000002</v>
      </c>
      <c r="L137" s="23">
        <v>226301.8599999999</v>
      </c>
      <c r="M137" s="23">
        <v>218619.59999999998</v>
      </c>
      <c r="N137" s="23">
        <v>115888.13000000002</v>
      </c>
      <c r="O137" s="23">
        <v>81933.219999999972</v>
      </c>
      <c r="P137" s="23">
        <v>65932.919999999984</v>
      </c>
      <c r="Q137" s="23">
        <v>76287.619999999981</v>
      </c>
      <c r="S137" s="28"/>
      <c r="T137" s="28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s="2" customFormat="1" x14ac:dyDescent="0.3">
      <c r="A138" s="1"/>
      <c r="B138" s="1"/>
      <c r="C138" s="1"/>
      <c r="E138" s="5" t="s">
        <v>49</v>
      </c>
      <c r="F138" s="10">
        <f>IFERROR((1-F137/F136),0)</f>
        <v>2.5630392740006669E-2</v>
      </c>
      <c r="G138" s="10">
        <f>IFERROR((1-G137/G136),0)</f>
        <v>2.2867654375254842E-3</v>
      </c>
      <c r="H138" s="10">
        <f>IFERROR((1-H137/H136),0)</f>
        <v>2.9810150174121031E-3</v>
      </c>
      <c r="I138" s="10">
        <f>IFERROR((1-I137/I136),0)</f>
        <v>2.7953161290347195E-3</v>
      </c>
      <c r="J138" s="10">
        <f>IFERROR((1-J137/J136),0)</f>
        <v>6.0329190207185635E-3</v>
      </c>
      <c r="K138" s="10">
        <v>3.2718540619646075E-2</v>
      </c>
      <c r="L138" s="10">
        <f>IFERROR((1-L137/L136),0)</f>
        <v>1.74581873932802E-2</v>
      </c>
      <c r="M138" s="10">
        <f>IFERROR((1-M137/M136),0)</f>
        <v>4.0502398112004512E-2</v>
      </c>
      <c r="N138" s="10">
        <f>IFERROR((1-N137/N136),0)</f>
        <v>9.9491929746863272E-3</v>
      </c>
      <c r="O138" s="10">
        <f>IFERROR((1-O137/O136),0)</f>
        <v>5.4695043545429312E-2</v>
      </c>
      <c r="P138" s="10">
        <f>IFERROR((1-P137/P136),0)</f>
        <v>0</v>
      </c>
      <c r="Q138" s="10">
        <f>IFERROR((1-Q137/Q136),0)</f>
        <v>2.2106542310048938E-2</v>
      </c>
      <c r="S138" s="28"/>
      <c r="T138" s="28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x14ac:dyDescent="0.3">
      <c r="E139" s="5" t="s">
        <v>3</v>
      </c>
      <c r="F139" s="8">
        <v>0</v>
      </c>
      <c r="G139" s="8">
        <v>0</v>
      </c>
      <c r="H139" s="8">
        <v>4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</row>
    <row r="140" spans="1:107" x14ac:dyDescent="0.3">
      <c r="E140" s="5" t="s">
        <v>2</v>
      </c>
      <c r="F140" s="24">
        <f>IFERROR(F136/F125,0)</f>
        <v>1118.0414981273404</v>
      </c>
      <c r="G140" s="24">
        <f>IFERROR(G136/G125,0)</f>
        <v>1133.4505241935481</v>
      </c>
      <c r="H140" s="24">
        <f>IFERROR(H136/H125,0)</f>
        <v>1099.9296761133601</v>
      </c>
      <c r="I140" s="24">
        <f>IFERROR(I136/I125,0)</f>
        <v>1103.480296610169</v>
      </c>
      <c r="J140" s="24">
        <f>IFERROR(J136/J125,0)</f>
        <v>1163.971552511415</v>
      </c>
      <c r="K140" s="24">
        <v>1171.1553883495146</v>
      </c>
      <c r="L140" s="24">
        <f>IFERROR(L136/L125,0)</f>
        <v>1421.7461728395056</v>
      </c>
      <c r="M140" s="24">
        <f>IFERROR(M136/M125,0)</f>
        <v>2449.978387096774</v>
      </c>
      <c r="N140" s="24">
        <f>IFERROR(N136/N125,0)</f>
        <v>1603.4617808219182</v>
      </c>
      <c r="O140" s="24">
        <f>IFERROR(O136/O125,0)</f>
        <v>1666.8048076923073</v>
      </c>
      <c r="P140" s="24">
        <f>IFERROR(P136/P125,0)</f>
        <v>1465.1759999999997</v>
      </c>
      <c r="Q140" s="24">
        <f>IFERROR(Q136/Q125,0)</f>
        <v>2108.4378378378374</v>
      </c>
    </row>
    <row r="141" spans="1:107" x14ac:dyDescent="0.3">
      <c r="E141" s="5" t="s">
        <v>1</v>
      </c>
      <c r="F141" s="56">
        <v>0</v>
      </c>
      <c r="G141" s="56">
        <v>0</v>
      </c>
      <c r="H141" s="56">
        <v>0</v>
      </c>
      <c r="I141" s="56">
        <v>0</v>
      </c>
      <c r="J141" s="56">
        <v>0</v>
      </c>
      <c r="K141" s="56">
        <v>0</v>
      </c>
      <c r="L141" s="56">
        <v>0</v>
      </c>
      <c r="M141" s="56">
        <v>0</v>
      </c>
      <c r="N141" s="56">
        <v>0</v>
      </c>
      <c r="O141" s="56">
        <v>0</v>
      </c>
      <c r="P141" s="56">
        <v>0</v>
      </c>
      <c r="Q141" s="56">
        <v>0</v>
      </c>
    </row>
    <row r="142" spans="1:107" x14ac:dyDescent="0.3">
      <c r="E142" s="5" t="s">
        <v>0</v>
      </c>
      <c r="F142" s="56">
        <v>0</v>
      </c>
      <c r="G142" s="56">
        <v>0</v>
      </c>
      <c r="H142" s="56">
        <v>0</v>
      </c>
      <c r="I142" s="56">
        <v>0</v>
      </c>
      <c r="J142" s="56">
        <v>0</v>
      </c>
      <c r="K142" s="56">
        <v>0</v>
      </c>
      <c r="L142" s="56">
        <v>0</v>
      </c>
      <c r="M142" s="56">
        <v>0</v>
      </c>
      <c r="N142" s="56">
        <v>0</v>
      </c>
      <c r="O142" s="56">
        <v>0</v>
      </c>
      <c r="P142" s="56">
        <v>0</v>
      </c>
      <c r="Q142" s="56">
        <v>0</v>
      </c>
    </row>
    <row r="143" spans="1:107" s="2" customFormat="1" ht="2.4" customHeight="1" x14ac:dyDescent="0.3">
      <c r="F143" s="55"/>
      <c r="G143" s="55"/>
      <c r="H143" s="55"/>
      <c r="I143" s="61"/>
      <c r="J143" s="55"/>
      <c r="K143" s="60"/>
      <c r="L143" s="29"/>
      <c r="M143" s="29"/>
      <c r="N143" s="29"/>
      <c r="O143" s="29"/>
      <c r="P143" s="29"/>
      <c r="Q143" s="29"/>
      <c r="S143" s="28"/>
      <c r="T143" s="28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s="2" customFormat="1" x14ac:dyDescent="0.3">
      <c r="A144" s="1"/>
      <c r="B144" s="1"/>
      <c r="C144" s="1"/>
      <c r="E144" s="65" t="s">
        <v>33</v>
      </c>
      <c r="F144" s="54" t="s">
        <v>32</v>
      </c>
      <c r="G144" s="54" t="s">
        <v>31</v>
      </c>
      <c r="H144" s="54" t="s">
        <v>30</v>
      </c>
      <c r="I144" s="54" t="s">
        <v>29</v>
      </c>
      <c r="J144" s="54" t="s">
        <v>28</v>
      </c>
      <c r="K144" s="54" t="s">
        <v>27</v>
      </c>
      <c r="L144" s="54" t="s">
        <v>26</v>
      </c>
      <c r="M144" s="54" t="s">
        <v>25</v>
      </c>
      <c r="N144" s="54" t="s">
        <v>24</v>
      </c>
      <c r="O144" s="54" t="s">
        <v>23</v>
      </c>
      <c r="P144" s="54" t="s">
        <v>22</v>
      </c>
      <c r="Q144" s="54" t="s">
        <v>21</v>
      </c>
      <c r="S144" s="28"/>
      <c r="T144" s="28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x14ac:dyDescent="0.3">
      <c r="E145" s="5" t="s">
        <v>20</v>
      </c>
      <c r="F145" s="8">
        <v>0</v>
      </c>
      <c r="G145" s="80">
        <v>0</v>
      </c>
      <c r="H145" s="80">
        <v>0</v>
      </c>
      <c r="I145" s="80">
        <v>0</v>
      </c>
      <c r="J145" s="80">
        <v>0</v>
      </c>
      <c r="K145" s="80">
        <v>0</v>
      </c>
      <c r="L145" s="80">
        <v>0</v>
      </c>
      <c r="M145" s="80">
        <v>0</v>
      </c>
      <c r="N145" s="80">
        <v>0</v>
      </c>
      <c r="O145" s="80">
        <v>0</v>
      </c>
      <c r="P145" s="80">
        <v>0</v>
      </c>
      <c r="Q145" s="80">
        <v>0</v>
      </c>
    </row>
    <row r="146" spans="1:107" s="2" customFormat="1" x14ac:dyDescent="0.3">
      <c r="A146" s="1"/>
      <c r="B146" s="1"/>
      <c r="C146" s="1"/>
      <c r="E146" s="5" t="s">
        <v>19</v>
      </c>
      <c r="F146" s="8">
        <f>SUM(F147:F148)</f>
        <v>511</v>
      </c>
      <c r="G146" s="8">
        <f>SUM(G147:G148)</f>
        <v>482</v>
      </c>
      <c r="H146" s="8">
        <f>SUM(H147:H148)</f>
        <v>460</v>
      </c>
      <c r="I146" s="8">
        <f>SUM(I147:I148)</f>
        <v>447</v>
      </c>
      <c r="J146" s="8">
        <f>SUM(J147:J148)</f>
        <v>763</v>
      </c>
      <c r="K146" s="8">
        <v>739</v>
      </c>
      <c r="L146" s="8">
        <f>SUM(L147:L148)</f>
        <v>717</v>
      </c>
      <c r="M146" s="8">
        <f>SUM(M147:M148)</f>
        <v>717</v>
      </c>
      <c r="N146" s="8">
        <f>SUM(N147:N148)</f>
        <v>727</v>
      </c>
      <c r="O146" s="8">
        <f>SUM(O147:O148)</f>
        <v>770</v>
      </c>
      <c r="P146" s="8">
        <f>SUM(P147:P148)</f>
        <v>812</v>
      </c>
      <c r="Q146" s="8">
        <f>SUM(Q147:Q148)</f>
        <v>835</v>
      </c>
      <c r="S146" s="28"/>
      <c r="T146" s="28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s="2" customFormat="1" x14ac:dyDescent="0.3">
      <c r="A147" s="1"/>
      <c r="B147" s="1"/>
      <c r="C147" s="1"/>
      <c r="E147" s="14" t="s">
        <v>41</v>
      </c>
      <c r="F147" s="8">
        <v>0</v>
      </c>
      <c r="G147" s="80">
        <v>0</v>
      </c>
      <c r="H147" s="80">
        <v>0</v>
      </c>
      <c r="I147" s="80">
        <v>0</v>
      </c>
      <c r="J147" s="80">
        <v>0</v>
      </c>
      <c r="K147" s="80">
        <v>0</v>
      </c>
      <c r="L147" s="80">
        <v>0</v>
      </c>
      <c r="M147" s="80">
        <v>0</v>
      </c>
      <c r="N147" s="80">
        <v>0</v>
      </c>
      <c r="O147" s="80">
        <v>0</v>
      </c>
      <c r="P147" s="80">
        <v>0</v>
      </c>
      <c r="Q147" s="80">
        <v>0</v>
      </c>
      <c r="S147" s="28"/>
      <c r="T147" s="28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s="2" customFormat="1" x14ac:dyDescent="0.3">
      <c r="A148" s="1"/>
      <c r="B148" s="1"/>
      <c r="C148" s="1"/>
      <c r="E148" s="14" t="s">
        <v>40</v>
      </c>
      <c r="F148" s="8">
        <v>511</v>
      </c>
      <c r="G148" s="80">
        <v>482</v>
      </c>
      <c r="H148" s="80">
        <v>460</v>
      </c>
      <c r="I148" s="80">
        <v>447</v>
      </c>
      <c r="J148" s="80">
        <v>763</v>
      </c>
      <c r="K148" s="80">
        <v>739</v>
      </c>
      <c r="L148" s="80">
        <v>717</v>
      </c>
      <c r="M148" s="80">
        <v>717</v>
      </c>
      <c r="N148" s="80">
        <v>727</v>
      </c>
      <c r="O148" s="80">
        <v>770</v>
      </c>
      <c r="P148" s="80">
        <v>812</v>
      </c>
      <c r="Q148" s="80">
        <v>835</v>
      </c>
      <c r="S148" s="28"/>
      <c r="T148" s="28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s="2" customFormat="1" ht="13.95" customHeight="1" x14ac:dyDescent="0.3">
      <c r="A149" s="1"/>
      <c r="B149" s="1"/>
      <c r="C149" s="1"/>
      <c r="E149" s="5" t="s">
        <v>39</v>
      </c>
      <c r="F149" s="8">
        <f>SUM(F152:F156)</f>
        <v>18</v>
      </c>
      <c r="G149" s="8">
        <f>SUM(G152:G156)</f>
        <v>29</v>
      </c>
      <c r="H149" s="8">
        <f>SUM(H152:H156)</f>
        <v>23</v>
      </c>
      <c r="I149" s="8">
        <f>SUM(I152:I156)</f>
        <v>13</v>
      </c>
      <c r="J149" s="8">
        <f>SUM(J152:J156)</f>
        <v>19</v>
      </c>
      <c r="K149" s="8">
        <v>29</v>
      </c>
      <c r="L149" s="8">
        <f>SUM(L152:L156)</f>
        <v>28</v>
      </c>
      <c r="M149" s="8">
        <f>SUM(M152:M156)</f>
        <v>30</v>
      </c>
      <c r="N149" s="8">
        <f>SUM(N152:N156)</f>
        <v>18</v>
      </c>
      <c r="O149" s="8">
        <f>SUM(O152:O156)</f>
        <v>24</v>
      </c>
      <c r="P149" s="8">
        <f>SUM(P152:P156)</f>
        <v>22</v>
      </c>
      <c r="Q149" s="8">
        <f>SUM(Q152:Q156)</f>
        <v>20</v>
      </c>
      <c r="S149" s="28"/>
      <c r="T149" s="28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s="2" customFormat="1" x14ac:dyDescent="0.3">
      <c r="A150" s="1"/>
      <c r="B150" s="1"/>
      <c r="C150" s="1"/>
      <c r="E150" s="5" t="s">
        <v>15</v>
      </c>
      <c r="F150" s="8">
        <v>0</v>
      </c>
      <c r="G150" s="81">
        <v>0</v>
      </c>
      <c r="H150" s="81">
        <v>1</v>
      </c>
      <c r="I150" s="81">
        <v>4</v>
      </c>
      <c r="J150" s="81">
        <v>8</v>
      </c>
      <c r="K150" s="81">
        <v>2</v>
      </c>
      <c r="L150" s="81">
        <v>0</v>
      </c>
      <c r="M150" s="81">
        <v>0</v>
      </c>
      <c r="N150" s="81">
        <v>1</v>
      </c>
      <c r="O150" s="81">
        <v>0</v>
      </c>
      <c r="P150" s="81">
        <v>4</v>
      </c>
      <c r="Q150" s="81">
        <v>5</v>
      </c>
      <c r="S150" s="28"/>
      <c r="T150" s="28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s="2" customFormat="1" x14ac:dyDescent="0.3">
      <c r="A151" s="1"/>
      <c r="B151" s="1"/>
      <c r="C151" s="1"/>
      <c r="E151" s="5" t="s">
        <v>14</v>
      </c>
      <c r="F151" s="10">
        <f>IFERROR(F149/'Relatório Indicadores 24'!Q105,0)</f>
        <v>3.4090909090909088E-2</v>
      </c>
      <c r="G151" s="10">
        <f>IFERROR(G149/F146,0)</f>
        <v>5.6751467710371817E-2</v>
      </c>
      <c r="H151" s="10">
        <f>IFERROR(H149/G146,0)</f>
        <v>4.7717842323651449E-2</v>
      </c>
      <c r="I151" s="10">
        <f>IFERROR(I149/H146,0)</f>
        <v>2.8260869565217391E-2</v>
      </c>
      <c r="J151" s="10">
        <f>IFERROR(J149/I146,0)</f>
        <v>4.2505592841163314E-2</v>
      </c>
      <c r="K151" s="10">
        <v>3.8007863695937089E-2</v>
      </c>
      <c r="L151" s="10">
        <f>IFERROR(L149/K146,0)</f>
        <v>3.7889039242219216E-2</v>
      </c>
      <c r="M151" s="10">
        <f>IFERROR(M149/L146,0)</f>
        <v>4.1841004184100417E-2</v>
      </c>
      <c r="N151" s="10">
        <f>IFERROR(N149/M146,0)</f>
        <v>2.5104602510460251E-2</v>
      </c>
      <c r="O151" s="10">
        <f>IFERROR(O149/N146,0)</f>
        <v>3.3012379642365884E-2</v>
      </c>
      <c r="P151" s="10">
        <f>IFERROR(P149/O146,0)</f>
        <v>2.8571428571428571E-2</v>
      </c>
      <c r="Q151" s="10">
        <f>IFERROR(Q149/P146,0)</f>
        <v>2.4630541871921183E-2</v>
      </c>
      <c r="S151" s="28"/>
      <c r="T151" s="28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s="2" customFormat="1" x14ac:dyDescent="0.3">
      <c r="A152" s="1"/>
      <c r="B152" s="1"/>
      <c r="C152" s="1"/>
      <c r="E152" s="5" t="s">
        <v>13</v>
      </c>
      <c r="F152" s="8">
        <v>5</v>
      </c>
      <c r="G152" s="80">
        <v>14</v>
      </c>
      <c r="H152" s="80">
        <v>3</v>
      </c>
      <c r="I152" s="80">
        <v>5</v>
      </c>
      <c r="J152" s="80">
        <v>3</v>
      </c>
      <c r="K152" s="80">
        <v>3</v>
      </c>
      <c r="L152" s="80">
        <v>9</v>
      </c>
      <c r="M152" s="80">
        <v>11</v>
      </c>
      <c r="N152" s="80">
        <v>1</v>
      </c>
      <c r="O152" s="80">
        <v>6</v>
      </c>
      <c r="P152" s="80">
        <v>5</v>
      </c>
      <c r="Q152" s="80">
        <v>1</v>
      </c>
      <c r="S152" s="28"/>
      <c r="T152" s="28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s="2" customFormat="1" x14ac:dyDescent="0.3">
      <c r="A153" s="1"/>
      <c r="B153" s="1"/>
      <c r="C153" s="1"/>
      <c r="E153" s="5" t="s">
        <v>12</v>
      </c>
      <c r="F153" s="8">
        <v>13</v>
      </c>
      <c r="G153" s="80">
        <v>15</v>
      </c>
      <c r="H153" s="80">
        <v>20</v>
      </c>
      <c r="I153" s="80">
        <v>8</v>
      </c>
      <c r="J153" s="80">
        <v>16</v>
      </c>
      <c r="K153" s="80">
        <v>26</v>
      </c>
      <c r="L153" s="80">
        <v>19</v>
      </c>
      <c r="M153" s="80">
        <v>19</v>
      </c>
      <c r="N153" s="80">
        <v>17</v>
      </c>
      <c r="O153" s="80">
        <v>16</v>
      </c>
      <c r="P153" s="80">
        <v>10</v>
      </c>
      <c r="Q153" s="80">
        <v>19</v>
      </c>
      <c r="S153" s="28"/>
      <c r="T153" s="28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s="2" customFormat="1" x14ac:dyDescent="0.3">
      <c r="A154" s="1"/>
      <c r="B154" s="1"/>
      <c r="C154" s="1"/>
      <c r="E154" s="5" t="s">
        <v>11</v>
      </c>
      <c r="F154" s="8">
        <v>0</v>
      </c>
      <c r="G154" s="80">
        <v>0</v>
      </c>
      <c r="H154" s="80">
        <v>0</v>
      </c>
      <c r="I154" s="80">
        <v>0</v>
      </c>
      <c r="J154" s="80">
        <v>0</v>
      </c>
      <c r="K154" s="80">
        <v>0</v>
      </c>
      <c r="L154" s="80">
        <v>0</v>
      </c>
      <c r="M154" s="80">
        <v>0</v>
      </c>
      <c r="N154" s="80">
        <v>0</v>
      </c>
      <c r="O154" s="80">
        <v>0</v>
      </c>
      <c r="P154" s="80">
        <v>0</v>
      </c>
      <c r="Q154" s="80">
        <v>0</v>
      </c>
      <c r="S154" s="28"/>
      <c r="T154" s="28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s="2" customFormat="1" x14ac:dyDescent="0.3">
      <c r="A155" s="1"/>
      <c r="B155" s="1"/>
      <c r="C155" s="1"/>
      <c r="E155" s="5" t="s">
        <v>50</v>
      </c>
      <c r="F155" s="42">
        <v>0</v>
      </c>
      <c r="G155" s="79">
        <v>0</v>
      </c>
      <c r="H155" s="79">
        <v>0</v>
      </c>
      <c r="I155" s="79">
        <v>0</v>
      </c>
      <c r="J155" s="79">
        <v>0</v>
      </c>
      <c r="K155" s="79">
        <v>0</v>
      </c>
      <c r="L155" s="79">
        <v>0</v>
      </c>
      <c r="M155" s="79">
        <v>0</v>
      </c>
      <c r="N155" s="79">
        <v>0</v>
      </c>
      <c r="O155" s="79">
        <v>0</v>
      </c>
      <c r="P155" s="79">
        <v>0</v>
      </c>
      <c r="Q155" s="79">
        <v>0</v>
      </c>
      <c r="S155" s="28"/>
      <c r="T155" s="28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s="2" customFormat="1" x14ac:dyDescent="0.3">
      <c r="A156" s="1"/>
      <c r="B156" s="1"/>
      <c r="C156" s="1"/>
      <c r="E156" s="5" t="s">
        <v>46</v>
      </c>
      <c r="F156" s="42">
        <v>0</v>
      </c>
      <c r="G156" s="79">
        <v>0</v>
      </c>
      <c r="H156" s="79">
        <v>0</v>
      </c>
      <c r="I156" s="79">
        <v>0</v>
      </c>
      <c r="J156" s="79">
        <v>0</v>
      </c>
      <c r="K156" s="79">
        <v>0</v>
      </c>
      <c r="L156" s="79">
        <v>0</v>
      </c>
      <c r="M156" s="79">
        <v>0</v>
      </c>
      <c r="N156" s="79">
        <v>0</v>
      </c>
      <c r="O156" s="79">
        <v>2</v>
      </c>
      <c r="P156" s="79">
        <v>7</v>
      </c>
      <c r="Q156" s="79">
        <v>0</v>
      </c>
      <c r="S156" s="28"/>
      <c r="T156" s="28"/>
      <c r="U156" s="28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s="2" customFormat="1" x14ac:dyDescent="0.3">
      <c r="A157" s="1"/>
      <c r="B157" s="1"/>
      <c r="C157" s="1"/>
      <c r="E157" s="5" t="s">
        <v>6</v>
      </c>
      <c r="F157" s="23">
        <v>270354.48999999987</v>
      </c>
      <c r="G157" s="23">
        <v>256945.45</v>
      </c>
      <c r="H157" s="23">
        <v>257592.7099999999</v>
      </c>
      <c r="I157" s="23">
        <v>243570.7200000002</v>
      </c>
      <c r="J157" s="23">
        <v>516009.56000000017</v>
      </c>
      <c r="K157" s="23">
        <v>532839.28000000026</v>
      </c>
      <c r="L157" s="23">
        <v>521761.15000000026</v>
      </c>
      <c r="M157" s="23">
        <v>507704.50999999989</v>
      </c>
      <c r="N157" s="23">
        <v>234737.63999999993</v>
      </c>
      <c r="O157" s="23">
        <v>521913.77</v>
      </c>
      <c r="P157" s="23">
        <v>550546.07000000007</v>
      </c>
      <c r="Q157" s="23">
        <v>558715.74999999988</v>
      </c>
      <c r="S157" s="28"/>
      <c r="T157" s="28"/>
      <c r="U157" s="28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s="2" customFormat="1" x14ac:dyDescent="0.3">
      <c r="A158" s="1"/>
      <c r="B158" s="1"/>
      <c r="C158" s="1"/>
      <c r="E158" s="5" t="s">
        <v>5</v>
      </c>
      <c r="F158" s="23">
        <v>252560.54999999984</v>
      </c>
      <c r="G158" s="23">
        <v>236803.64</v>
      </c>
      <c r="H158" s="23">
        <v>239513.12999999992</v>
      </c>
      <c r="I158" s="23">
        <v>222841.0600000002</v>
      </c>
      <c r="J158" s="23">
        <v>229003.49000000014</v>
      </c>
      <c r="K158" s="23">
        <v>227896.82000000009</v>
      </c>
      <c r="L158" s="23">
        <v>232678.64000000013</v>
      </c>
      <c r="M158" s="23">
        <v>211114.64999999991</v>
      </c>
      <c r="N158" s="23">
        <v>209445.03999999992</v>
      </c>
      <c r="O158" s="23">
        <v>233543.8</v>
      </c>
      <c r="P158" s="23">
        <v>248644.04</v>
      </c>
      <c r="Q158" s="23">
        <v>258176.46999999994</v>
      </c>
      <c r="S158" s="28"/>
      <c r="T158" s="28"/>
      <c r="U158" s="28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s="2" customFormat="1" x14ac:dyDescent="0.3">
      <c r="A159" s="1"/>
      <c r="B159" s="1"/>
      <c r="C159" s="1"/>
      <c r="E159" s="5" t="s">
        <v>49</v>
      </c>
      <c r="F159" s="10">
        <f>IFERROR((1-F158/F157),0)</f>
        <v>6.5817068545819368E-2</v>
      </c>
      <c r="G159" s="10">
        <f>IFERROR((1-G158/G157),0)</f>
        <v>7.8389440248893272E-2</v>
      </c>
      <c r="H159" s="10">
        <f>IFERROR((1-H158/H157),0)</f>
        <v>7.0186691230508802E-2</v>
      </c>
      <c r="I159" s="10">
        <f>IFERROR((1-I158/I157),0)</f>
        <v>8.5107356089434649E-2</v>
      </c>
      <c r="J159" s="10">
        <f>IFERROR((1-J158/J157),0)</f>
        <v>0.55620300910704046</v>
      </c>
      <c r="K159" s="10">
        <v>0.57229726006686299</v>
      </c>
      <c r="L159" s="10">
        <f>IFERROR((1-L158/L157),0)</f>
        <v>0.55405142755454295</v>
      </c>
      <c r="M159" s="10">
        <f>IFERROR((1-M158/M157),0)</f>
        <v>0.5841781078525381</v>
      </c>
      <c r="N159" s="10">
        <f>IFERROR((1-N158/N157),0)</f>
        <v>0.10774837814676852</v>
      </c>
      <c r="O159" s="10">
        <f>IFERROR((1-O158/O157),0)</f>
        <v>0.55252416505508184</v>
      </c>
      <c r="P159" s="10">
        <f>IFERROR((1-P158/P157),0)</f>
        <v>0.54836833182734379</v>
      </c>
      <c r="Q159" s="10">
        <f>IFERROR((1-Q158/Q157),0)</f>
        <v>0.53791087865341192</v>
      </c>
      <c r="S159" s="28"/>
      <c r="T159" s="28"/>
      <c r="U159" s="28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s="2" customFormat="1" x14ac:dyDescent="0.3">
      <c r="A160" s="1"/>
      <c r="B160" s="1"/>
      <c r="C160" s="1"/>
      <c r="E160" s="5" t="s">
        <v>3</v>
      </c>
      <c r="F160" s="8">
        <v>0</v>
      </c>
      <c r="G160" s="8">
        <v>0</v>
      </c>
      <c r="H160" s="8">
        <v>1</v>
      </c>
      <c r="I160" s="8">
        <v>0</v>
      </c>
      <c r="J160" s="8">
        <v>3</v>
      </c>
      <c r="K160" s="8">
        <v>0</v>
      </c>
      <c r="L160" s="8">
        <v>9</v>
      </c>
      <c r="M160" s="8">
        <v>32</v>
      </c>
      <c r="N160" s="8">
        <v>28</v>
      </c>
      <c r="O160" s="8">
        <v>68</v>
      </c>
      <c r="P160" s="8">
        <v>64</v>
      </c>
      <c r="Q160" s="8">
        <v>41</v>
      </c>
      <c r="S160" s="28"/>
      <c r="T160" s="28"/>
      <c r="U160" s="28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s="2" customFormat="1" x14ac:dyDescent="0.3">
      <c r="A161" s="1"/>
      <c r="B161" s="1"/>
      <c r="C161" s="1"/>
      <c r="E161" s="5" t="s">
        <v>2</v>
      </c>
      <c r="F161" s="24">
        <f>IFERROR(F157/F146,0)</f>
        <v>529.06945205479428</v>
      </c>
      <c r="G161" s="24">
        <f>IFERROR(G157/G146,0)</f>
        <v>533.08184647302903</v>
      </c>
      <c r="H161" s="24">
        <f>IFERROR(H157/H146,0)</f>
        <v>559.98415217391289</v>
      </c>
      <c r="I161" s="24">
        <f>IFERROR(I157/I146,0)</f>
        <v>544.90093959731587</v>
      </c>
      <c r="J161" s="24">
        <f>IFERROR(J157/J146,0)</f>
        <v>676.29038007863721</v>
      </c>
      <c r="K161" s="24">
        <v>721.02744248985152</v>
      </c>
      <c r="L161" s="24">
        <f>IFERROR(L157/L146,0)</f>
        <v>727.70034867503523</v>
      </c>
      <c r="M161" s="24">
        <f>IFERROR(M157/M146,0)</f>
        <v>708.09555090655499</v>
      </c>
      <c r="N161" s="24">
        <f>IFERROR(N157/N146,0)</f>
        <v>322.88533700137543</v>
      </c>
      <c r="O161" s="24">
        <f>IFERROR(O157/O146,0)</f>
        <v>677.81009090909095</v>
      </c>
      <c r="P161" s="24">
        <f>IFERROR(P157/P146,0)</f>
        <v>678.01240147783255</v>
      </c>
      <c r="Q161" s="24">
        <f>IFERROR(Q157/Q146,0)</f>
        <v>669.1206586826346</v>
      </c>
      <c r="S161" s="28"/>
      <c r="T161" s="28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s="2" customFormat="1" x14ac:dyDescent="0.3">
      <c r="A162" s="1"/>
      <c r="B162" s="1"/>
      <c r="C162" s="1"/>
      <c r="E162" s="5" t="s">
        <v>1</v>
      </c>
      <c r="F162" s="56">
        <v>0</v>
      </c>
      <c r="G162" s="56">
        <v>0</v>
      </c>
      <c r="H162" s="56">
        <v>0</v>
      </c>
      <c r="I162" s="56">
        <v>0</v>
      </c>
      <c r="J162" s="56">
        <v>0</v>
      </c>
      <c r="K162" s="56">
        <v>0</v>
      </c>
      <c r="L162" s="56">
        <v>0</v>
      </c>
      <c r="M162" s="56">
        <v>0</v>
      </c>
      <c r="N162" s="56">
        <v>0</v>
      </c>
      <c r="O162" s="56">
        <v>0</v>
      </c>
      <c r="P162" s="56">
        <v>0</v>
      </c>
      <c r="Q162" s="56">
        <v>0</v>
      </c>
      <c r="S162" s="28"/>
      <c r="T162" s="28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s="2" customFormat="1" x14ac:dyDescent="0.3">
      <c r="A163" s="1"/>
      <c r="B163" s="1"/>
      <c r="C163" s="1"/>
      <c r="E163" s="5" t="s">
        <v>0</v>
      </c>
      <c r="F163" s="56">
        <v>0</v>
      </c>
      <c r="G163" s="56">
        <v>0</v>
      </c>
      <c r="H163" s="56">
        <v>0</v>
      </c>
      <c r="I163" s="56">
        <v>0</v>
      </c>
      <c r="J163" s="56">
        <v>0</v>
      </c>
      <c r="K163" s="56">
        <v>0</v>
      </c>
      <c r="L163" s="56">
        <v>0</v>
      </c>
      <c r="M163" s="56">
        <v>0</v>
      </c>
      <c r="N163" s="56">
        <v>0</v>
      </c>
      <c r="O163" s="56">
        <v>0</v>
      </c>
      <c r="P163" s="56">
        <v>0</v>
      </c>
      <c r="Q163" s="56">
        <v>0</v>
      </c>
      <c r="S163" s="28"/>
      <c r="T163" s="28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s="2" customFormat="1" ht="3.6" customHeight="1" x14ac:dyDescent="0.3">
      <c r="F164" s="55"/>
      <c r="G164" s="55"/>
      <c r="H164" s="55"/>
      <c r="I164" s="55"/>
      <c r="J164" s="55"/>
      <c r="K164" s="55"/>
      <c r="L164" s="55"/>
      <c r="M164" s="55"/>
      <c r="N164" s="29"/>
      <c r="O164" s="29"/>
      <c r="P164" s="29"/>
      <c r="Q164" s="29"/>
      <c r="S164" s="28"/>
      <c r="T164" s="28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s="2" customFormat="1" x14ac:dyDescent="0.3">
      <c r="A165" s="1"/>
      <c r="B165" s="1"/>
      <c r="C165" s="1"/>
      <c r="E165" s="54" t="s">
        <v>33</v>
      </c>
      <c r="F165" s="54" t="s">
        <v>32</v>
      </c>
      <c r="G165" s="54" t="s">
        <v>31</v>
      </c>
      <c r="H165" s="54" t="s">
        <v>30</v>
      </c>
      <c r="I165" s="54" t="s">
        <v>29</v>
      </c>
      <c r="J165" s="54" t="s">
        <v>28</v>
      </c>
      <c r="K165" s="54" t="s">
        <v>27</v>
      </c>
      <c r="L165" s="54" t="s">
        <v>26</v>
      </c>
      <c r="M165" s="54" t="s">
        <v>25</v>
      </c>
      <c r="N165" s="54" t="s">
        <v>24</v>
      </c>
      <c r="O165" s="54" t="s">
        <v>23</v>
      </c>
      <c r="P165" s="54" t="s">
        <v>22</v>
      </c>
      <c r="Q165" s="54" t="s">
        <v>21</v>
      </c>
      <c r="S165" s="28"/>
      <c r="T165" s="28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x14ac:dyDescent="0.3">
      <c r="E166" s="5" t="s">
        <v>20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0">
        <v>0</v>
      </c>
      <c r="L166" s="80">
        <v>0</v>
      </c>
      <c r="M166" s="80">
        <v>0</v>
      </c>
      <c r="N166" s="80">
        <v>0</v>
      </c>
      <c r="O166" s="80">
        <v>0</v>
      </c>
      <c r="P166" s="80">
        <v>0</v>
      </c>
      <c r="Q166" s="80">
        <v>0</v>
      </c>
    </row>
    <row r="167" spans="1:107" s="2" customFormat="1" x14ac:dyDescent="0.3">
      <c r="A167" s="1"/>
      <c r="B167" s="1"/>
      <c r="C167" s="1"/>
      <c r="E167" s="5" t="s">
        <v>19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1</v>
      </c>
      <c r="L167" s="8">
        <f>SUM(L168:L169)</f>
        <v>3</v>
      </c>
      <c r="M167" s="8">
        <f>SUM(M168:M169)</f>
        <v>3</v>
      </c>
      <c r="N167" s="8">
        <f>SUM(N168:N169)</f>
        <v>3</v>
      </c>
      <c r="O167" s="8">
        <f>SUM(O168:O169)</f>
        <v>11</v>
      </c>
      <c r="P167" s="8">
        <f>SUM(P168:P169)</f>
        <v>26</v>
      </c>
      <c r="Q167" s="8">
        <f>SUM(Q168:Q169)</f>
        <v>38</v>
      </c>
      <c r="S167" s="28"/>
      <c r="T167" s="28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s="2" customFormat="1" x14ac:dyDescent="0.3">
      <c r="A168" s="1"/>
      <c r="B168" s="1"/>
      <c r="C168" s="1"/>
      <c r="E168" s="14" t="s">
        <v>41</v>
      </c>
      <c r="F168" s="8">
        <v>0</v>
      </c>
      <c r="G168" s="8">
        <v>0</v>
      </c>
      <c r="H168" s="8">
        <v>0</v>
      </c>
      <c r="I168" s="8">
        <v>0</v>
      </c>
      <c r="J168" s="8">
        <v>0</v>
      </c>
      <c r="K168" s="80">
        <v>0</v>
      </c>
      <c r="L168" s="80">
        <v>0</v>
      </c>
      <c r="M168" s="80">
        <v>0</v>
      </c>
      <c r="N168" s="80">
        <v>0</v>
      </c>
      <c r="O168" s="80">
        <v>0</v>
      </c>
      <c r="P168" s="80">
        <v>0</v>
      </c>
      <c r="Q168" s="80">
        <v>0</v>
      </c>
      <c r="S168" s="28"/>
      <c r="T168" s="28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s="2" customFormat="1" x14ac:dyDescent="0.3">
      <c r="A169" s="1"/>
      <c r="B169" s="1"/>
      <c r="C169" s="1"/>
      <c r="E169" s="14" t="s">
        <v>40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0">
        <v>1</v>
      </c>
      <c r="L169" s="80">
        <v>3</v>
      </c>
      <c r="M169" s="80">
        <v>3</v>
      </c>
      <c r="N169" s="80">
        <v>3</v>
      </c>
      <c r="O169" s="80">
        <v>11</v>
      </c>
      <c r="P169" s="80">
        <v>26</v>
      </c>
      <c r="Q169" s="80">
        <v>38</v>
      </c>
      <c r="S169" s="28"/>
      <c r="T169" s="28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s="2" customFormat="1" x14ac:dyDescent="0.3">
      <c r="A170" s="1"/>
      <c r="B170" s="1"/>
      <c r="C170" s="1"/>
      <c r="E170" s="5" t="s">
        <v>39</v>
      </c>
      <c r="F170" s="8">
        <v>0</v>
      </c>
      <c r="G170" s="8">
        <v>0</v>
      </c>
      <c r="H170" s="8">
        <v>0</v>
      </c>
      <c r="I170" s="8">
        <v>0</v>
      </c>
      <c r="J170" s="8">
        <v>0</v>
      </c>
      <c r="K170" s="8">
        <v>0</v>
      </c>
      <c r="L170" s="8">
        <f>SUM(L173:L177)</f>
        <v>0</v>
      </c>
      <c r="M170" s="8">
        <f>SUM(M173:M177)</f>
        <v>0</v>
      </c>
      <c r="N170" s="8">
        <f>SUM(N173:N177)</f>
        <v>0</v>
      </c>
      <c r="O170" s="8">
        <f>SUM(O173:O177)</f>
        <v>0</v>
      </c>
      <c r="P170" s="8">
        <f>SUM(P173:P177)</f>
        <v>0</v>
      </c>
      <c r="Q170" s="8">
        <f>SUM(Q173:Q177)</f>
        <v>2</v>
      </c>
      <c r="S170" s="28"/>
      <c r="T170" s="28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s="2" customFormat="1" x14ac:dyDescent="0.3">
      <c r="A171" s="1"/>
      <c r="B171" s="1"/>
      <c r="C171" s="1"/>
      <c r="E171" s="5" t="s">
        <v>15</v>
      </c>
      <c r="F171" s="8">
        <v>0</v>
      </c>
      <c r="G171" s="8">
        <v>0</v>
      </c>
      <c r="H171" s="8">
        <v>0</v>
      </c>
      <c r="I171" s="8">
        <v>0</v>
      </c>
      <c r="J171" s="8">
        <v>0</v>
      </c>
      <c r="K171" s="81">
        <v>0</v>
      </c>
      <c r="L171" s="81">
        <v>0</v>
      </c>
      <c r="M171" s="81">
        <v>0</v>
      </c>
      <c r="N171" s="81">
        <v>0</v>
      </c>
      <c r="O171" s="81">
        <v>0</v>
      </c>
      <c r="P171" s="81">
        <v>0</v>
      </c>
      <c r="Q171" s="81">
        <v>1</v>
      </c>
      <c r="S171" s="28"/>
      <c r="T171" s="28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s="2" customFormat="1" x14ac:dyDescent="0.3">
      <c r="A172" s="1"/>
      <c r="B172" s="1"/>
      <c r="C172" s="1"/>
      <c r="E172" s="5" t="s">
        <v>14</v>
      </c>
      <c r="F172" s="8">
        <v>0</v>
      </c>
      <c r="G172" s="8">
        <v>0</v>
      </c>
      <c r="H172" s="8">
        <v>0</v>
      </c>
      <c r="I172" s="8">
        <v>0</v>
      </c>
      <c r="J172" s="8">
        <v>0</v>
      </c>
      <c r="K172" s="10">
        <v>0</v>
      </c>
      <c r="L172" s="10">
        <f>IFERROR(L170/K167,0)</f>
        <v>0</v>
      </c>
      <c r="M172" s="10">
        <f>IFERROR(M170/L167,0)</f>
        <v>0</v>
      </c>
      <c r="N172" s="10">
        <f>IFERROR(N170/M167,0)</f>
        <v>0</v>
      </c>
      <c r="O172" s="10">
        <f>IFERROR(O170/N167,0)</f>
        <v>0</v>
      </c>
      <c r="P172" s="10">
        <f>IFERROR(P170/O167,0)</f>
        <v>0</v>
      </c>
      <c r="Q172" s="10">
        <f>IFERROR(Q170/P167,0)</f>
        <v>7.6923076923076927E-2</v>
      </c>
      <c r="S172" s="28"/>
      <c r="T172" s="28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s="2" customFormat="1" x14ac:dyDescent="0.3">
      <c r="A173" s="1"/>
      <c r="B173" s="1"/>
      <c r="C173" s="1"/>
      <c r="E173" s="5" t="s">
        <v>13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0">
        <v>0</v>
      </c>
      <c r="L173" s="80">
        <v>0</v>
      </c>
      <c r="M173" s="80">
        <v>0</v>
      </c>
      <c r="N173" s="80">
        <v>0</v>
      </c>
      <c r="O173" s="80">
        <v>0</v>
      </c>
      <c r="P173" s="80">
        <v>0</v>
      </c>
      <c r="Q173" s="80">
        <v>2</v>
      </c>
      <c r="S173" s="28"/>
      <c r="T173" s="28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s="2" customFormat="1" x14ac:dyDescent="0.3">
      <c r="A174" s="1"/>
      <c r="B174" s="1"/>
      <c r="C174" s="1"/>
      <c r="E174" s="5" t="s">
        <v>12</v>
      </c>
      <c r="F174" s="8">
        <v>0</v>
      </c>
      <c r="G174" s="8">
        <v>0</v>
      </c>
      <c r="H174" s="8">
        <v>0</v>
      </c>
      <c r="I174" s="8">
        <v>0</v>
      </c>
      <c r="J174" s="8">
        <v>0</v>
      </c>
      <c r="K174" s="80">
        <v>0</v>
      </c>
      <c r="L174" s="80">
        <v>0</v>
      </c>
      <c r="M174" s="80">
        <v>0</v>
      </c>
      <c r="N174" s="80">
        <v>0</v>
      </c>
      <c r="O174" s="80">
        <v>0</v>
      </c>
      <c r="P174" s="80">
        <v>0</v>
      </c>
      <c r="Q174" s="80">
        <v>0</v>
      </c>
      <c r="S174" s="28"/>
      <c r="T174" s="28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s="2" customFormat="1" x14ac:dyDescent="0.3">
      <c r="A175" s="1"/>
      <c r="B175" s="1"/>
      <c r="C175" s="1"/>
      <c r="E175" s="5" t="s">
        <v>11</v>
      </c>
      <c r="F175" s="8">
        <v>0</v>
      </c>
      <c r="G175" s="8">
        <v>0</v>
      </c>
      <c r="H175" s="8">
        <v>0</v>
      </c>
      <c r="I175" s="8">
        <v>0</v>
      </c>
      <c r="J175" s="8">
        <v>0</v>
      </c>
      <c r="K175" s="80">
        <v>0</v>
      </c>
      <c r="L175" s="80">
        <v>0</v>
      </c>
      <c r="M175" s="80">
        <v>0</v>
      </c>
      <c r="N175" s="80">
        <v>0</v>
      </c>
      <c r="O175" s="80">
        <v>0</v>
      </c>
      <c r="P175" s="80">
        <v>0</v>
      </c>
      <c r="Q175" s="80">
        <v>0</v>
      </c>
      <c r="S175" s="28"/>
      <c r="T175" s="28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s="2" customFormat="1" x14ac:dyDescent="0.3">
      <c r="A176" s="1"/>
      <c r="B176" s="1"/>
      <c r="C176" s="1"/>
      <c r="E176" s="5" t="s">
        <v>50</v>
      </c>
      <c r="F176" s="8">
        <v>0</v>
      </c>
      <c r="G176" s="8">
        <v>0</v>
      </c>
      <c r="H176" s="8">
        <v>0</v>
      </c>
      <c r="I176" s="8">
        <v>0</v>
      </c>
      <c r="J176" s="8">
        <v>0</v>
      </c>
      <c r="K176" s="79">
        <v>0</v>
      </c>
      <c r="L176" s="79">
        <v>0</v>
      </c>
      <c r="M176" s="79">
        <v>0</v>
      </c>
      <c r="N176" s="79">
        <v>0</v>
      </c>
      <c r="O176" s="79">
        <v>0</v>
      </c>
      <c r="P176" s="79">
        <v>0</v>
      </c>
      <c r="Q176" s="79">
        <v>0</v>
      </c>
      <c r="S176" s="28"/>
      <c r="T176" s="28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s="2" customFormat="1" x14ac:dyDescent="0.3">
      <c r="A177" s="1"/>
      <c r="B177" s="1"/>
      <c r="C177" s="1"/>
      <c r="E177" s="5" t="s">
        <v>46</v>
      </c>
      <c r="F177" s="8">
        <v>0</v>
      </c>
      <c r="G177" s="8">
        <v>0</v>
      </c>
      <c r="H177" s="8">
        <v>0</v>
      </c>
      <c r="I177" s="8">
        <v>0</v>
      </c>
      <c r="J177" s="8">
        <v>0</v>
      </c>
      <c r="K177" s="79">
        <v>0</v>
      </c>
      <c r="L177" s="79">
        <v>0</v>
      </c>
      <c r="M177" s="79">
        <v>0</v>
      </c>
      <c r="N177" s="79">
        <v>0</v>
      </c>
      <c r="O177" s="79">
        <v>0</v>
      </c>
      <c r="P177" s="79">
        <v>0</v>
      </c>
      <c r="Q177" s="79">
        <v>0</v>
      </c>
      <c r="S177" s="28"/>
      <c r="T177" s="28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s="2" customFormat="1" x14ac:dyDescent="0.3">
      <c r="A178" s="1"/>
      <c r="B178" s="1"/>
      <c r="C178" s="1"/>
      <c r="E178" s="5" t="s">
        <v>6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23">
        <v>489.6</v>
      </c>
      <c r="L178" s="23">
        <v>489.6</v>
      </c>
      <c r="M178" s="23">
        <v>969.12</v>
      </c>
      <c r="N178" s="23">
        <v>969.12</v>
      </c>
      <c r="O178" s="23">
        <v>3997.5600000000004</v>
      </c>
      <c r="P178" s="23">
        <v>8106.17</v>
      </c>
      <c r="Q178" s="23">
        <v>12334.5</v>
      </c>
      <c r="S178" s="28"/>
      <c r="T178" s="28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s="2" customFormat="1" x14ac:dyDescent="0.3">
      <c r="A179" s="1"/>
      <c r="B179" s="1"/>
      <c r="C179" s="1"/>
      <c r="E179" s="5" t="s">
        <v>5</v>
      </c>
      <c r="F179" s="8">
        <v>0</v>
      </c>
      <c r="G179" s="8">
        <v>0</v>
      </c>
      <c r="H179" s="8">
        <v>0</v>
      </c>
      <c r="I179" s="8">
        <v>0</v>
      </c>
      <c r="J179" s="8">
        <v>0</v>
      </c>
      <c r="K179" s="23">
        <v>489.6</v>
      </c>
      <c r="L179" s="23">
        <v>489.6</v>
      </c>
      <c r="M179" s="23">
        <v>969.12</v>
      </c>
      <c r="N179" s="23">
        <v>969.12</v>
      </c>
      <c r="O179" s="23">
        <v>2823.4100000000003</v>
      </c>
      <c r="P179" s="23">
        <v>7855.67</v>
      </c>
      <c r="Q179" s="23">
        <v>10029.629999999999</v>
      </c>
      <c r="S179" s="28"/>
      <c r="T179" s="28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s="2" customFormat="1" x14ac:dyDescent="0.3">
      <c r="A180" s="1"/>
      <c r="B180" s="1"/>
      <c r="C180" s="1"/>
      <c r="E180" s="5" t="s">
        <v>49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10">
        <f>IFERROR((1-K179/K178),0)</f>
        <v>0</v>
      </c>
      <c r="L180" s="10">
        <f>IFERROR((1-L179/L178),0)</f>
        <v>0</v>
      </c>
      <c r="M180" s="10">
        <f>IFERROR((1-M179/M178),0)</f>
        <v>0</v>
      </c>
      <c r="N180" s="10">
        <f>IFERROR((1-N179/N178),0)</f>
        <v>0</v>
      </c>
      <c r="O180" s="10">
        <f>IFERROR((1-O179/O178),0)</f>
        <v>0.29371666716697187</v>
      </c>
      <c r="P180" s="10">
        <f>IFERROR((1-P179/P178),0)</f>
        <v>3.0902386700500939E-2</v>
      </c>
      <c r="Q180" s="10">
        <f>IFERROR((1-Q179/Q178),0)</f>
        <v>0.18686367505776491</v>
      </c>
      <c r="S180" s="28"/>
      <c r="T180" s="28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x14ac:dyDescent="0.3">
      <c r="E181" s="5" t="s">
        <v>3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1</v>
      </c>
      <c r="L181" s="8">
        <v>2</v>
      </c>
      <c r="M181" s="8">
        <v>0</v>
      </c>
      <c r="N181" s="8">
        <v>0</v>
      </c>
      <c r="O181" s="8">
        <v>8</v>
      </c>
      <c r="P181" s="8">
        <v>15</v>
      </c>
      <c r="Q181" s="8">
        <v>14</v>
      </c>
    </row>
    <row r="182" spans="1:107" x14ac:dyDescent="0.3">
      <c r="E182" s="5" t="s">
        <v>2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24">
        <f>IFERROR(K178/K167,0)</f>
        <v>489.6</v>
      </c>
      <c r="L182" s="24">
        <f>IFERROR(L178/L167,0)</f>
        <v>163.20000000000002</v>
      </c>
      <c r="M182" s="24">
        <f>IFERROR(M178/M167,0)</f>
        <v>323.04000000000002</v>
      </c>
      <c r="N182" s="24">
        <f>IFERROR(N178/N167,0)</f>
        <v>323.04000000000002</v>
      </c>
      <c r="O182" s="24">
        <f>IFERROR(O178/O167,0)</f>
        <v>363.41454545454548</v>
      </c>
      <c r="P182" s="24">
        <f>IFERROR(P178/P167,0)</f>
        <v>311.77576923076924</v>
      </c>
      <c r="Q182" s="24">
        <f>IFERROR(Q178/Q167,0)</f>
        <v>324.59210526315792</v>
      </c>
    </row>
    <row r="183" spans="1:107" x14ac:dyDescent="0.3">
      <c r="E183" s="5" t="s">
        <v>1</v>
      </c>
      <c r="F183" s="8">
        <v>0</v>
      </c>
      <c r="G183" s="8">
        <v>0</v>
      </c>
      <c r="H183" s="8">
        <v>0</v>
      </c>
      <c r="I183" s="8">
        <v>0</v>
      </c>
      <c r="J183" s="8">
        <v>0</v>
      </c>
      <c r="K183" s="56">
        <v>0</v>
      </c>
      <c r="L183" s="56">
        <v>0</v>
      </c>
      <c r="M183" s="56">
        <v>0</v>
      </c>
      <c r="N183" s="56">
        <v>0</v>
      </c>
      <c r="O183" s="56">
        <v>0</v>
      </c>
      <c r="P183" s="56">
        <v>0</v>
      </c>
      <c r="Q183" s="56">
        <v>0</v>
      </c>
    </row>
    <row r="184" spans="1:107" x14ac:dyDescent="0.3">
      <c r="E184" s="5" t="s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56">
        <v>0</v>
      </c>
      <c r="L184" s="56">
        <v>0</v>
      </c>
      <c r="M184" s="56">
        <v>0</v>
      </c>
      <c r="N184" s="56">
        <v>0</v>
      </c>
      <c r="O184" s="56">
        <v>0</v>
      </c>
      <c r="P184" s="56">
        <v>0</v>
      </c>
      <c r="Q184" s="56">
        <v>0</v>
      </c>
    </row>
    <row r="185" spans="1:107" ht="3.6" customHeight="1" x14ac:dyDescent="0.3">
      <c r="A185" s="2"/>
      <c r="B185" s="2"/>
      <c r="C185" s="2"/>
      <c r="E185" s="2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>
        <f>O241-P244+P257</f>
        <v>689</v>
      </c>
      <c r="Q185" s="29"/>
    </row>
    <row r="186" spans="1:107" s="2" customFormat="1" x14ac:dyDescent="0.3">
      <c r="A186" s="1"/>
      <c r="B186" s="1"/>
      <c r="C186" s="1"/>
      <c r="E186" s="54" t="s">
        <v>33</v>
      </c>
      <c r="F186" s="54" t="s">
        <v>32</v>
      </c>
      <c r="G186" s="54" t="s">
        <v>31</v>
      </c>
      <c r="H186" s="54" t="s">
        <v>30</v>
      </c>
      <c r="I186" s="54" t="s">
        <v>29</v>
      </c>
      <c r="J186" s="54" t="s">
        <v>28</v>
      </c>
      <c r="K186" s="54" t="s">
        <v>27</v>
      </c>
      <c r="L186" s="54" t="s">
        <v>26</v>
      </c>
      <c r="M186" s="54" t="s">
        <v>25</v>
      </c>
      <c r="N186" s="54" t="s">
        <v>24</v>
      </c>
      <c r="O186" s="54" t="s">
        <v>23</v>
      </c>
      <c r="P186" s="54" t="s">
        <v>22</v>
      </c>
      <c r="Q186" s="54" t="s">
        <v>21</v>
      </c>
      <c r="S186" s="28"/>
      <c r="T186" s="28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x14ac:dyDescent="0.3">
      <c r="E187" s="5" t="s">
        <v>20</v>
      </c>
      <c r="F187" s="8">
        <v>0</v>
      </c>
      <c r="G187" s="80">
        <v>0</v>
      </c>
      <c r="H187" s="80">
        <v>0</v>
      </c>
      <c r="I187" s="80">
        <v>0</v>
      </c>
      <c r="J187" s="80">
        <v>0</v>
      </c>
      <c r="K187" s="80">
        <v>0</v>
      </c>
      <c r="L187" s="80">
        <v>0</v>
      </c>
      <c r="M187" s="80">
        <v>0</v>
      </c>
      <c r="N187" s="80">
        <v>0</v>
      </c>
      <c r="O187" s="80">
        <v>0</v>
      </c>
      <c r="P187" s="80">
        <v>0</v>
      </c>
      <c r="Q187" s="80">
        <v>0</v>
      </c>
    </row>
    <row r="188" spans="1:107" s="2" customFormat="1" x14ac:dyDescent="0.3">
      <c r="A188" s="1"/>
      <c r="B188" s="1"/>
      <c r="C188" s="1"/>
      <c r="E188" s="5" t="s">
        <v>19</v>
      </c>
      <c r="F188" s="8">
        <f>SUM(F189:F190)</f>
        <v>290</v>
      </c>
      <c r="G188" s="8">
        <f>SUM(G189:G190)</f>
        <v>284</v>
      </c>
      <c r="H188" s="8">
        <f>SUM(H189:H190)</f>
        <v>269</v>
      </c>
      <c r="I188" s="8">
        <f>SUM(I189:I190)</f>
        <v>254</v>
      </c>
      <c r="J188" s="8">
        <f>SUM(J189:J190)</f>
        <v>250</v>
      </c>
      <c r="K188" s="8">
        <v>244</v>
      </c>
      <c r="L188" s="8">
        <f>SUM(L189:L190)</f>
        <v>239</v>
      </c>
      <c r="M188" s="8">
        <f>SUM(M189:M190)</f>
        <v>229</v>
      </c>
      <c r="N188" s="8">
        <f>SUM(N189:N190)</f>
        <v>220</v>
      </c>
      <c r="O188" s="8">
        <f>SUM(O189:O190)</f>
        <v>218</v>
      </c>
      <c r="P188" s="8">
        <f>SUM(P189:P190)</f>
        <v>214</v>
      </c>
      <c r="Q188" s="8">
        <f>SUM(Q189:Q190)</f>
        <v>213</v>
      </c>
      <c r="S188" s="28"/>
      <c r="T188" s="28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s="2" customFormat="1" x14ac:dyDescent="0.3">
      <c r="A189" s="1"/>
      <c r="B189" s="1"/>
      <c r="C189" s="1"/>
      <c r="E189" s="14" t="s">
        <v>41</v>
      </c>
      <c r="F189" s="8">
        <v>0</v>
      </c>
      <c r="G189" s="80">
        <v>0</v>
      </c>
      <c r="H189" s="80">
        <v>0</v>
      </c>
      <c r="I189" s="80">
        <v>0</v>
      </c>
      <c r="J189" s="80">
        <v>0</v>
      </c>
      <c r="K189" s="80">
        <v>0</v>
      </c>
      <c r="L189" s="80">
        <v>0</v>
      </c>
      <c r="M189" s="80">
        <v>0</v>
      </c>
      <c r="N189" s="80">
        <v>0</v>
      </c>
      <c r="O189" s="80">
        <v>0</v>
      </c>
      <c r="P189" s="80">
        <v>0</v>
      </c>
      <c r="Q189" s="80">
        <v>0</v>
      </c>
      <c r="S189" s="28"/>
      <c r="T189" s="28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s="2" customFormat="1" x14ac:dyDescent="0.3">
      <c r="A190" s="1"/>
      <c r="B190" s="1"/>
      <c r="C190" s="1"/>
      <c r="E190" s="14" t="s">
        <v>40</v>
      </c>
      <c r="F190" s="8">
        <v>290</v>
      </c>
      <c r="G190" s="80">
        <v>284</v>
      </c>
      <c r="H190" s="80">
        <v>269</v>
      </c>
      <c r="I190" s="80">
        <v>254</v>
      </c>
      <c r="J190" s="80">
        <v>250</v>
      </c>
      <c r="K190" s="80">
        <v>244</v>
      </c>
      <c r="L190" s="80">
        <v>239</v>
      </c>
      <c r="M190" s="80">
        <v>229</v>
      </c>
      <c r="N190" s="80">
        <v>220</v>
      </c>
      <c r="O190" s="80">
        <v>218</v>
      </c>
      <c r="P190" s="80">
        <v>214</v>
      </c>
      <c r="Q190" s="80">
        <v>213</v>
      </c>
      <c r="S190" s="28"/>
      <c r="T190" s="28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s="2" customFormat="1" x14ac:dyDescent="0.3">
      <c r="A191" s="1"/>
      <c r="B191" s="1"/>
      <c r="C191" s="1"/>
      <c r="E191" s="5" t="s">
        <v>39</v>
      </c>
      <c r="F191" s="8">
        <f>SUM(F194:F198)</f>
        <v>13</v>
      </c>
      <c r="G191" s="8">
        <f>SUM(G194:G198)</f>
        <v>13</v>
      </c>
      <c r="H191" s="8">
        <f>SUM(H194:H198)</f>
        <v>17</v>
      </c>
      <c r="I191" s="8">
        <f>SUM(I194:I198)</f>
        <v>18</v>
      </c>
      <c r="J191" s="8">
        <f>SUM(J194:J198)</f>
        <v>9</v>
      </c>
      <c r="K191" s="8">
        <v>12</v>
      </c>
      <c r="L191" s="8">
        <f>SUM(L194:L198)</f>
        <v>13</v>
      </c>
      <c r="M191" s="8">
        <f>SUM(M194:M198)</f>
        <v>14</v>
      </c>
      <c r="N191" s="8">
        <f>SUM(N194:N198)</f>
        <v>13</v>
      </c>
      <c r="O191" s="8">
        <f>SUM(O194:O198)</f>
        <v>10</v>
      </c>
      <c r="P191" s="8">
        <f>SUM(P194:P198)</f>
        <v>10</v>
      </c>
      <c r="Q191" s="8">
        <f>SUM(Q194:Q198)</f>
        <v>4</v>
      </c>
      <c r="S191" s="28"/>
      <c r="T191" s="28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s="2" customFormat="1" x14ac:dyDescent="0.3">
      <c r="A192" s="1"/>
      <c r="B192" s="1"/>
      <c r="C192" s="1"/>
      <c r="E192" s="5" t="s">
        <v>15</v>
      </c>
      <c r="F192" s="8">
        <v>2</v>
      </c>
      <c r="G192" s="81">
        <v>0</v>
      </c>
      <c r="H192" s="81">
        <v>0</v>
      </c>
      <c r="I192" s="81">
        <v>0</v>
      </c>
      <c r="J192" s="81">
        <v>0</v>
      </c>
      <c r="K192" s="81">
        <v>0</v>
      </c>
      <c r="L192" s="81">
        <v>0</v>
      </c>
      <c r="M192" s="81">
        <v>0</v>
      </c>
      <c r="N192" s="81">
        <v>0</v>
      </c>
      <c r="O192" s="81">
        <v>1</v>
      </c>
      <c r="P192" s="81">
        <v>4</v>
      </c>
      <c r="Q192" s="81">
        <v>3</v>
      </c>
      <c r="S192" s="28"/>
      <c r="T192" s="28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s="2" customFormat="1" x14ac:dyDescent="0.3">
      <c r="A193" s="1"/>
      <c r="B193" s="1"/>
      <c r="C193" s="1"/>
      <c r="E193" s="5" t="s">
        <v>14</v>
      </c>
      <c r="F193" s="10">
        <f>IFERROR(F191/'Relatório Indicadores 24'!Q82,0)</f>
        <v>4.4520547945205477E-2</v>
      </c>
      <c r="G193" s="10">
        <f>IFERROR(G191/F188,0)</f>
        <v>4.4827586206896551E-2</v>
      </c>
      <c r="H193" s="10">
        <f>IFERROR(H191/G188,0)</f>
        <v>5.9859154929577461E-2</v>
      </c>
      <c r="I193" s="10">
        <f>IFERROR(I191/H188,0)</f>
        <v>6.6914498141263934E-2</v>
      </c>
      <c r="J193" s="10">
        <f>IFERROR(J191/I188,0)</f>
        <v>3.5433070866141732E-2</v>
      </c>
      <c r="K193" s="10">
        <v>4.8000000000000001E-2</v>
      </c>
      <c r="L193" s="10">
        <f>IFERROR(L191/K188,0)</f>
        <v>5.3278688524590161E-2</v>
      </c>
      <c r="M193" s="10">
        <f>IFERROR(M191/L188,0)</f>
        <v>5.8577405857740586E-2</v>
      </c>
      <c r="N193" s="10">
        <f>IFERROR(N191/M188,0)</f>
        <v>5.6768558951965066E-2</v>
      </c>
      <c r="O193" s="10">
        <f>IFERROR(O191/N188,0)</f>
        <v>4.5454545454545456E-2</v>
      </c>
      <c r="P193" s="10">
        <f>IFERROR(P191/O188,0)</f>
        <v>4.5871559633027525E-2</v>
      </c>
      <c r="Q193" s="10">
        <f>IFERROR(Q191/P188,0)</f>
        <v>1.8691588785046728E-2</v>
      </c>
      <c r="S193" s="28"/>
      <c r="T193" s="28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s="2" customFormat="1" x14ac:dyDescent="0.3">
      <c r="A194" s="1"/>
      <c r="B194" s="1"/>
      <c r="C194" s="1"/>
      <c r="E194" s="5" t="s">
        <v>13</v>
      </c>
      <c r="F194" s="8">
        <v>5</v>
      </c>
      <c r="G194" s="80">
        <v>7</v>
      </c>
      <c r="H194" s="80">
        <v>10</v>
      </c>
      <c r="I194" s="80">
        <v>10</v>
      </c>
      <c r="J194" s="80">
        <v>5</v>
      </c>
      <c r="K194" s="80">
        <v>6</v>
      </c>
      <c r="L194" s="80">
        <v>5</v>
      </c>
      <c r="M194" s="80">
        <v>4</v>
      </c>
      <c r="N194" s="80">
        <v>4</v>
      </c>
      <c r="O194" s="80">
        <v>5</v>
      </c>
      <c r="P194" s="80">
        <v>3</v>
      </c>
      <c r="Q194" s="80">
        <v>1</v>
      </c>
      <c r="S194" s="28"/>
      <c r="T194" s="28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s="2" customFormat="1" x14ac:dyDescent="0.3">
      <c r="A195" s="1"/>
      <c r="B195" s="1"/>
      <c r="C195" s="1"/>
      <c r="E195" s="5" t="s">
        <v>12</v>
      </c>
      <c r="F195" s="8">
        <v>8</v>
      </c>
      <c r="G195" s="80">
        <v>4</v>
      </c>
      <c r="H195" s="80">
        <v>7</v>
      </c>
      <c r="I195" s="80">
        <v>8</v>
      </c>
      <c r="J195" s="80">
        <v>4</v>
      </c>
      <c r="K195" s="80">
        <v>6</v>
      </c>
      <c r="L195" s="80">
        <v>7</v>
      </c>
      <c r="M195" s="80">
        <v>10</v>
      </c>
      <c r="N195" s="80">
        <v>8</v>
      </c>
      <c r="O195" s="80">
        <v>5</v>
      </c>
      <c r="P195" s="80">
        <v>7</v>
      </c>
      <c r="Q195" s="80">
        <v>3</v>
      </c>
      <c r="S195" s="28"/>
      <c r="T195" s="28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s="2" customFormat="1" x14ac:dyDescent="0.3">
      <c r="A196" s="1"/>
      <c r="B196" s="1"/>
      <c r="C196" s="1"/>
      <c r="E196" s="5" t="s">
        <v>11</v>
      </c>
      <c r="F196" s="8">
        <v>0</v>
      </c>
      <c r="G196" s="80">
        <v>0</v>
      </c>
      <c r="H196" s="80">
        <v>0</v>
      </c>
      <c r="I196" s="80">
        <v>0</v>
      </c>
      <c r="J196" s="80">
        <v>0</v>
      </c>
      <c r="K196" s="80">
        <v>0</v>
      </c>
      <c r="L196" s="80">
        <v>0</v>
      </c>
      <c r="M196" s="80">
        <v>0</v>
      </c>
      <c r="N196" s="80">
        <v>0</v>
      </c>
      <c r="O196" s="80">
        <v>0</v>
      </c>
      <c r="P196" s="80">
        <v>0</v>
      </c>
      <c r="Q196" s="80">
        <v>0</v>
      </c>
      <c r="S196" s="28"/>
      <c r="T196" s="28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s="2" customFormat="1" x14ac:dyDescent="0.3">
      <c r="A197" s="1"/>
      <c r="B197" s="1"/>
      <c r="C197" s="1"/>
      <c r="E197" s="5" t="s">
        <v>50</v>
      </c>
      <c r="F197" s="42">
        <v>0</v>
      </c>
      <c r="G197" s="79">
        <v>0</v>
      </c>
      <c r="H197" s="79">
        <v>0</v>
      </c>
      <c r="I197" s="79">
        <v>0</v>
      </c>
      <c r="J197" s="79">
        <v>0</v>
      </c>
      <c r="K197" s="79">
        <v>0</v>
      </c>
      <c r="L197" s="79">
        <v>0</v>
      </c>
      <c r="M197" s="79">
        <v>0</v>
      </c>
      <c r="N197" s="79">
        <v>0</v>
      </c>
      <c r="O197" s="79">
        <v>0</v>
      </c>
      <c r="P197" s="79">
        <v>0</v>
      </c>
      <c r="Q197" s="79">
        <v>0</v>
      </c>
      <c r="S197" s="28"/>
      <c r="T197" s="28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s="2" customFormat="1" x14ac:dyDescent="0.3">
      <c r="A198" s="1"/>
      <c r="B198" s="1"/>
      <c r="C198" s="1"/>
      <c r="E198" s="5" t="s">
        <v>46</v>
      </c>
      <c r="F198" s="42">
        <v>0</v>
      </c>
      <c r="G198" s="79">
        <v>2</v>
      </c>
      <c r="H198" s="79">
        <v>0</v>
      </c>
      <c r="I198" s="79">
        <v>0</v>
      </c>
      <c r="J198" s="79">
        <v>0</v>
      </c>
      <c r="K198" s="79">
        <v>0</v>
      </c>
      <c r="L198" s="79">
        <v>1</v>
      </c>
      <c r="M198" s="79">
        <v>0</v>
      </c>
      <c r="N198" s="79">
        <v>1</v>
      </c>
      <c r="O198" s="79">
        <v>0</v>
      </c>
      <c r="P198" s="79">
        <v>0</v>
      </c>
      <c r="Q198" s="79">
        <v>0</v>
      </c>
      <c r="S198" s="28"/>
      <c r="T198" s="28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s="2" customFormat="1" x14ac:dyDescent="0.3">
      <c r="A199" s="1"/>
      <c r="B199" s="1"/>
      <c r="C199" s="1"/>
      <c r="E199" s="5" t="s">
        <v>6</v>
      </c>
      <c r="F199" s="23">
        <v>82017.789999999935</v>
      </c>
      <c r="G199" s="23">
        <v>81467.179999999978</v>
      </c>
      <c r="H199" s="23">
        <v>78923.929999999993</v>
      </c>
      <c r="I199" s="23">
        <v>75181.52999999997</v>
      </c>
      <c r="J199" s="23">
        <v>73995.169999999955</v>
      </c>
      <c r="K199" s="23">
        <v>73570.089999999967</v>
      </c>
      <c r="L199" s="23">
        <v>71181.469999999958</v>
      </c>
      <c r="M199" s="23">
        <v>67485.409999999945</v>
      </c>
      <c r="N199" s="23">
        <v>64568.319999999978</v>
      </c>
      <c r="O199" s="23">
        <v>72592.809999999969</v>
      </c>
      <c r="P199" s="23">
        <v>71613.859999999986</v>
      </c>
      <c r="Q199" s="23">
        <v>68214.089999999953</v>
      </c>
      <c r="S199" s="28"/>
      <c r="T199" s="28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s="2" customFormat="1" x14ac:dyDescent="0.3">
      <c r="A200" s="1"/>
      <c r="B200" s="1"/>
      <c r="C200" s="1"/>
      <c r="E200" s="5" t="s">
        <v>5</v>
      </c>
      <c r="F200" s="23">
        <v>73047.989999999932</v>
      </c>
      <c r="G200" s="23">
        <v>70583.639999999985</v>
      </c>
      <c r="H200" s="23">
        <v>69903.399999999994</v>
      </c>
      <c r="I200" s="23">
        <v>68739.229999999967</v>
      </c>
      <c r="J200" s="23">
        <v>65905.079999999958</v>
      </c>
      <c r="K200" s="23">
        <v>64102.439999999973</v>
      </c>
      <c r="L200" s="23">
        <v>65134.049999999952</v>
      </c>
      <c r="M200" s="23">
        <v>61023.879999999946</v>
      </c>
      <c r="N200" s="23">
        <v>58153.019999999975</v>
      </c>
      <c r="O200" s="23">
        <v>66007.189999999973</v>
      </c>
      <c r="P200" s="23">
        <v>61261.529999999977</v>
      </c>
      <c r="Q200" s="23">
        <v>60492.76999999996</v>
      </c>
      <c r="S200" s="28"/>
      <c r="T200" s="28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s="2" customFormat="1" x14ac:dyDescent="0.3">
      <c r="A201" s="1"/>
      <c r="B201" s="1"/>
      <c r="C201" s="1"/>
      <c r="E201" s="5" t="s">
        <v>49</v>
      </c>
      <c r="F201" s="10">
        <f>IFERROR((1-F200/F199),0)</f>
        <v>0.10936407820791083</v>
      </c>
      <c r="G201" s="10">
        <f>IFERROR((1-G200/G199),0)</f>
        <v>0.13359416638700394</v>
      </c>
      <c r="H201" s="10">
        <f>IFERROR((1-H200/H199),0)</f>
        <v>0.11429397902511951</v>
      </c>
      <c r="I201" s="10">
        <f>IFERROR((1-I200/I199),0)</f>
        <v>8.5689929428145573E-2</v>
      </c>
      <c r="J201" s="10">
        <f>IFERROR((1-J200/J199),0)</f>
        <v>0.10933267671389901</v>
      </c>
      <c r="K201" s="10">
        <v>0.12868884624172672</v>
      </c>
      <c r="L201" s="10">
        <f>IFERROR((1-L200/L199),0)</f>
        <v>8.4957784659406621E-2</v>
      </c>
      <c r="M201" s="10">
        <f>IFERROR((1-M200/M199),0)</f>
        <v>9.5747065921359953E-2</v>
      </c>
      <c r="N201" s="10">
        <f>IFERROR((1-N200/N199),0)</f>
        <v>9.9356774343826948E-2</v>
      </c>
      <c r="O201" s="10">
        <f>IFERROR((1-O200/O199),0)</f>
        <v>9.0720003813049788E-2</v>
      </c>
      <c r="P201" s="10">
        <f>IFERROR((1-P200/P199),0)</f>
        <v>0.14455763172101055</v>
      </c>
      <c r="Q201" s="10">
        <f>IFERROR((1-Q200/Q199),0)</f>
        <v>0.11319245041603576</v>
      </c>
      <c r="S201" s="28"/>
      <c r="T201" s="28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s="2" customFormat="1" x14ac:dyDescent="0.3">
      <c r="A202" s="1"/>
      <c r="B202" s="1"/>
      <c r="C202" s="1"/>
      <c r="E202" s="5" t="s">
        <v>3</v>
      </c>
      <c r="F202" s="8">
        <v>10</v>
      </c>
      <c r="G202" s="8">
        <v>5</v>
      </c>
      <c r="H202" s="8">
        <v>0</v>
      </c>
      <c r="I202" s="8">
        <v>3</v>
      </c>
      <c r="J202" s="8">
        <v>4</v>
      </c>
      <c r="K202" s="8">
        <v>6</v>
      </c>
      <c r="L202" s="8">
        <v>7</v>
      </c>
      <c r="M202" s="8">
        <v>3</v>
      </c>
      <c r="N202" s="8">
        <v>4</v>
      </c>
      <c r="O202" s="8">
        <v>8</v>
      </c>
      <c r="P202" s="8">
        <v>6</v>
      </c>
      <c r="Q202" s="8">
        <v>3</v>
      </c>
      <c r="S202" s="28"/>
      <c r="T202" s="28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s="2" customFormat="1" x14ac:dyDescent="0.3">
      <c r="A203" s="1"/>
      <c r="B203" s="1"/>
      <c r="C203" s="1"/>
      <c r="E203" s="5" t="s">
        <v>2</v>
      </c>
      <c r="F203" s="24">
        <f>IFERROR(F199/F188,0)</f>
        <v>282.81996551724114</v>
      </c>
      <c r="G203" s="24">
        <f>IFERROR(G199/G188,0)</f>
        <v>286.85626760563372</v>
      </c>
      <c r="H203" s="24">
        <f>IFERROR(H199/H188,0)</f>
        <v>293.39750929368029</v>
      </c>
      <c r="I203" s="24">
        <f>IFERROR(I199/I188,0)</f>
        <v>295.99027559055105</v>
      </c>
      <c r="J203" s="24">
        <f>IFERROR(J199/J188,0)</f>
        <v>295.98067999999984</v>
      </c>
      <c r="K203" s="24">
        <v>301.51676229508183</v>
      </c>
      <c r="L203" s="24">
        <f>IFERROR(L199/L188,0)</f>
        <v>297.83041841004166</v>
      </c>
      <c r="M203" s="24">
        <f>IFERROR(M199/M188,0)</f>
        <v>294.69611353711764</v>
      </c>
      <c r="N203" s="24">
        <f>IFERROR(N199/N188,0)</f>
        <v>293.49236363636356</v>
      </c>
      <c r="O203" s="24">
        <f>IFERROR(O199/O188,0)</f>
        <v>332.99454128440351</v>
      </c>
      <c r="P203" s="24">
        <f>IFERROR(P199/P188,0)</f>
        <v>334.64420560747658</v>
      </c>
      <c r="Q203" s="24">
        <f>IFERROR(Q199/Q188,0)</f>
        <v>320.25394366197162</v>
      </c>
      <c r="S203" s="28"/>
      <c r="T203" s="28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s="2" customFormat="1" x14ac:dyDescent="0.3">
      <c r="A204" s="1"/>
      <c r="B204" s="1"/>
      <c r="C204" s="1"/>
      <c r="E204" s="5" t="s">
        <v>1</v>
      </c>
      <c r="F204" s="56">
        <v>0</v>
      </c>
      <c r="G204" s="56">
        <v>0</v>
      </c>
      <c r="H204" s="56">
        <v>0</v>
      </c>
      <c r="I204" s="56">
        <v>0</v>
      </c>
      <c r="J204" s="56">
        <v>0</v>
      </c>
      <c r="K204" s="56">
        <v>0</v>
      </c>
      <c r="L204" s="56">
        <v>0</v>
      </c>
      <c r="M204" s="56">
        <v>0</v>
      </c>
      <c r="N204" s="56">
        <v>0</v>
      </c>
      <c r="O204" s="56">
        <v>0</v>
      </c>
      <c r="P204" s="56">
        <v>0</v>
      </c>
      <c r="Q204" s="56">
        <v>0</v>
      </c>
      <c r="S204" s="28"/>
      <c r="T204" s="28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s="2" customFormat="1" x14ac:dyDescent="0.3">
      <c r="A205" s="1"/>
      <c r="B205" s="1"/>
      <c r="C205" s="1"/>
      <c r="E205" s="5" t="s">
        <v>0</v>
      </c>
      <c r="F205" s="56">
        <v>0</v>
      </c>
      <c r="G205" s="56">
        <v>0</v>
      </c>
      <c r="H205" s="56">
        <v>0</v>
      </c>
      <c r="I205" s="56">
        <v>0</v>
      </c>
      <c r="J205" s="56">
        <v>0</v>
      </c>
      <c r="K205" s="56">
        <v>0</v>
      </c>
      <c r="L205" s="56">
        <v>0</v>
      </c>
      <c r="M205" s="56">
        <v>0</v>
      </c>
      <c r="N205" s="56">
        <v>0</v>
      </c>
      <c r="O205" s="56">
        <v>0</v>
      </c>
      <c r="P205" s="56">
        <v>0</v>
      </c>
      <c r="Q205" s="56">
        <v>0</v>
      </c>
      <c r="S205" s="28"/>
      <c r="T205" s="28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s="2" customFormat="1" ht="2.4" customHeight="1" x14ac:dyDescent="0.3">
      <c r="F206" s="55"/>
      <c r="G206" s="55"/>
      <c r="H206" s="55"/>
      <c r="I206" s="61"/>
      <c r="J206" s="55"/>
      <c r="K206" s="60"/>
      <c r="L206" s="29"/>
      <c r="M206" s="29"/>
      <c r="N206" s="29"/>
      <c r="O206" s="29"/>
      <c r="P206" s="29"/>
      <c r="Q206" s="29"/>
      <c r="S206" s="28"/>
      <c r="T206" s="28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s="2" customFormat="1" hidden="1" x14ac:dyDescent="0.3">
      <c r="F207" s="55">
        <v>174</v>
      </c>
      <c r="G207" s="55" t="e">
        <v>#REF!</v>
      </c>
      <c r="H207" s="55" t="e">
        <f>G146-H149+#REF!</f>
        <v>#REF!</v>
      </c>
      <c r="I207" s="55" t="e">
        <f>H146-I149+#REF!</f>
        <v>#REF!</v>
      </c>
      <c r="J207" s="55" t="e">
        <f>I146-J149+#REF!</f>
        <v>#REF!</v>
      </c>
      <c r="K207" s="55" t="e">
        <v>#REF!</v>
      </c>
      <c r="L207" s="55">
        <f>K146-L149+L160</f>
        <v>720</v>
      </c>
      <c r="M207" s="55">
        <f>L146-M149+M160</f>
        <v>719</v>
      </c>
      <c r="N207" s="55">
        <f>M146-N149+N160</f>
        <v>727</v>
      </c>
      <c r="O207" s="55">
        <f>N146-O149+O160</f>
        <v>771</v>
      </c>
      <c r="P207" s="55">
        <f>O146-P149+P160</f>
        <v>812</v>
      </c>
      <c r="Q207" s="29"/>
      <c r="S207" s="28"/>
      <c r="T207" s="28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s="2" customFormat="1" hidden="1" x14ac:dyDescent="0.3">
      <c r="F208" s="55">
        <f>F146-F207</f>
        <v>337</v>
      </c>
      <c r="G208" s="55" t="e">
        <v>#REF!</v>
      </c>
      <c r="H208" s="55" t="e">
        <f>H146-H207</f>
        <v>#REF!</v>
      </c>
      <c r="I208" s="55" t="e">
        <f>I146-I207</f>
        <v>#REF!</v>
      </c>
      <c r="J208" s="55" t="e">
        <f>J146-J207</f>
        <v>#REF!</v>
      </c>
      <c r="K208" s="55" t="e">
        <v>#REF!</v>
      </c>
      <c r="L208" s="55">
        <f>L146-L207</f>
        <v>-3</v>
      </c>
      <c r="M208" s="55">
        <f>M146-M207</f>
        <v>-2</v>
      </c>
      <c r="N208" s="55">
        <f>N146-N207</f>
        <v>0</v>
      </c>
      <c r="O208" s="55">
        <f>O146-O207</f>
        <v>-1</v>
      </c>
      <c r="P208" s="55">
        <f>P146-P207</f>
        <v>0</v>
      </c>
      <c r="Q208" s="29"/>
      <c r="S208" s="28"/>
      <c r="T208" s="28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s="2" customFormat="1" hidden="1" x14ac:dyDescent="0.3">
      <c r="F209" s="55"/>
      <c r="G209" s="55"/>
      <c r="H209" s="55"/>
      <c r="I209" s="55">
        <f>H261-I264+I275</f>
        <v>26</v>
      </c>
      <c r="J209" s="55">
        <f>I261-J264+J275</f>
        <v>25</v>
      </c>
      <c r="K209" s="55">
        <v>23</v>
      </c>
      <c r="L209" s="55">
        <f>K261-L264+L275</f>
        <v>20</v>
      </c>
      <c r="M209" s="55">
        <f>L261-M264+M275</f>
        <v>19</v>
      </c>
      <c r="N209" s="55">
        <f>M261-N264+N275</f>
        <v>19</v>
      </c>
      <c r="O209" s="55">
        <f>N261-O264+O275</f>
        <v>19</v>
      </c>
      <c r="P209" s="55">
        <f>O261-P264+P275</f>
        <v>20</v>
      </c>
      <c r="Q209" s="29"/>
      <c r="S209" s="28"/>
      <c r="T209" s="28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s="2" customFormat="1" hidden="1" x14ac:dyDescent="0.3">
      <c r="F210" s="55"/>
      <c r="G210" s="55"/>
      <c r="H210" s="55"/>
      <c r="I210" s="55">
        <f>I261-I209</f>
        <v>0</v>
      </c>
      <c r="J210" s="55">
        <f>J261-J209</f>
        <v>0</v>
      </c>
      <c r="K210" s="55">
        <v>0</v>
      </c>
      <c r="L210" s="55">
        <f>L261-L209</f>
        <v>0</v>
      </c>
      <c r="M210" s="55">
        <f>M261-M209</f>
        <v>0</v>
      </c>
      <c r="N210" s="55">
        <f>N261-N209</f>
        <v>0</v>
      </c>
      <c r="O210" s="55">
        <f>O261-O209</f>
        <v>1</v>
      </c>
      <c r="P210" s="55">
        <f>P261-P209</f>
        <v>0</v>
      </c>
      <c r="Q210" s="29"/>
      <c r="S210" s="28"/>
      <c r="T210" s="28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s="2" customFormat="1" ht="1.2" customHeight="1" x14ac:dyDescent="0.3">
      <c r="F211" s="55"/>
      <c r="G211" s="55"/>
      <c r="H211" s="55"/>
      <c r="I211" s="61"/>
      <c r="J211" s="55"/>
      <c r="K211" s="60"/>
      <c r="L211" s="29"/>
      <c r="M211" s="29"/>
      <c r="N211" s="29"/>
      <c r="O211" s="29"/>
      <c r="P211" s="29"/>
      <c r="Q211" s="29"/>
      <c r="S211" s="28"/>
      <c r="T211" s="28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s="2" customFormat="1" x14ac:dyDescent="0.3">
      <c r="A212" s="1"/>
      <c r="B212" s="1"/>
      <c r="C212" s="1"/>
      <c r="E212" s="54" t="s">
        <v>33</v>
      </c>
      <c r="F212" s="54" t="s">
        <v>32</v>
      </c>
      <c r="G212" s="54" t="s">
        <v>31</v>
      </c>
      <c r="H212" s="54" t="s">
        <v>30</v>
      </c>
      <c r="I212" s="54" t="s">
        <v>29</v>
      </c>
      <c r="J212" s="54" t="s">
        <v>28</v>
      </c>
      <c r="K212" s="54" t="s">
        <v>27</v>
      </c>
      <c r="L212" s="54" t="s">
        <v>26</v>
      </c>
      <c r="M212" s="54" t="s">
        <v>25</v>
      </c>
      <c r="N212" s="54" t="s">
        <v>24</v>
      </c>
      <c r="O212" s="54" t="s">
        <v>23</v>
      </c>
      <c r="P212" s="54" t="s">
        <v>22</v>
      </c>
      <c r="Q212" s="54" t="s">
        <v>21</v>
      </c>
      <c r="S212" s="28"/>
      <c r="T212" s="28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x14ac:dyDescent="0.3">
      <c r="E213" s="5" t="s">
        <v>20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</row>
    <row r="214" spans="1:107" s="2" customFormat="1" x14ac:dyDescent="0.3">
      <c r="A214" s="1"/>
      <c r="B214" s="1"/>
      <c r="C214" s="1"/>
      <c r="E214" s="5" t="s">
        <v>19</v>
      </c>
      <c r="F214" s="8">
        <f>SUM(F215:F216)</f>
        <v>0</v>
      </c>
      <c r="G214" s="8">
        <f>SUM(G215:G216)</f>
        <v>0</v>
      </c>
      <c r="H214" s="8">
        <f>SUM(H215:H216)</f>
        <v>0</v>
      </c>
      <c r="I214" s="8">
        <f>SUM(I215:I216)</f>
        <v>0</v>
      </c>
      <c r="J214" s="8">
        <f>SUM(J215:J216)</f>
        <v>0</v>
      </c>
      <c r="K214" s="8">
        <f>SUM(K215:K216)</f>
        <v>0</v>
      </c>
      <c r="L214" s="8">
        <f>SUM(L215:L216)</f>
        <v>0</v>
      </c>
      <c r="M214" s="8">
        <f>SUM(M215:M216)</f>
        <v>2</v>
      </c>
      <c r="N214" s="8">
        <f>SUM(N215:N216)</f>
        <v>6</v>
      </c>
      <c r="O214" s="8">
        <f>SUM(O215:O216)</f>
        <v>13</v>
      </c>
      <c r="P214" s="8">
        <f>SUM(P215:P216)</f>
        <v>24</v>
      </c>
      <c r="Q214" s="8">
        <f>SUM(Q215:Q216)</f>
        <v>22</v>
      </c>
      <c r="S214" s="28"/>
      <c r="T214" s="28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s="2" customFormat="1" x14ac:dyDescent="0.3">
      <c r="A215" s="1"/>
      <c r="B215" s="1"/>
      <c r="C215" s="1"/>
      <c r="E215" s="14" t="s">
        <v>41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S215" s="28"/>
      <c r="T215" s="28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s="2" customFormat="1" x14ac:dyDescent="0.3">
      <c r="A216" s="1"/>
      <c r="B216" s="1"/>
      <c r="C216" s="1"/>
      <c r="E216" s="14" t="s">
        <v>40</v>
      </c>
      <c r="F216" s="8">
        <v>0</v>
      </c>
      <c r="G216" s="8">
        <v>0</v>
      </c>
      <c r="H216" s="8">
        <v>0</v>
      </c>
      <c r="I216" s="8">
        <v>0</v>
      </c>
      <c r="J216" s="8">
        <v>0</v>
      </c>
      <c r="K216" s="8">
        <v>0</v>
      </c>
      <c r="L216" s="8">
        <v>0</v>
      </c>
      <c r="M216" s="8">
        <v>2</v>
      </c>
      <c r="N216" s="8">
        <v>6</v>
      </c>
      <c r="O216" s="8">
        <v>13</v>
      </c>
      <c r="P216" s="8">
        <v>24</v>
      </c>
      <c r="Q216" s="8">
        <v>22</v>
      </c>
      <c r="S216" s="28"/>
      <c r="T216" s="28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s="2" customFormat="1" x14ac:dyDescent="0.3">
      <c r="A217" s="1"/>
      <c r="B217" s="1"/>
      <c r="C217" s="1"/>
      <c r="E217" s="5" t="s">
        <v>39</v>
      </c>
      <c r="F217" s="8">
        <f>SUM(F220:F224)</f>
        <v>0</v>
      </c>
      <c r="G217" s="8">
        <f>SUM(G220:G224)</f>
        <v>0</v>
      </c>
      <c r="H217" s="8">
        <f>SUM(H220:H224)</f>
        <v>0</v>
      </c>
      <c r="I217" s="8">
        <f>SUM(I220:I224)</f>
        <v>0</v>
      </c>
      <c r="J217" s="8">
        <f>SUM(J220:J224)</f>
        <v>0</v>
      </c>
      <c r="K217" s="8">
        <f>SUM(K220:K224)</f>
        <v>0</v>
      </c>
      <c r="L217" s="8">
        <f>SUM(L220:L224)</f>
        <v>0</v>
      </c>
      <c r="M217" s="8">
        <f>SUM(M220:M224)</f>
        <v>0</v>
      </c>
      <c r="N217" s="8">
        <f>SUM(N220:N224)</f>
        <v>0</v>
      </c>
      <c r="O217" s="8">
        <f>SUM(O220:O224)</f>
        <v>2</v>
      </c>
      <c r="P217" s="8">
        <f>SUM(P220:P224)</f>
        <v>7</v>
      </c>
      <c r="Q217" s="8">
        <f>SUM(Q220:Q224)</f>
        <v>6</v>
      </c>
      <c r="S217" s="28"/>
      <c r="T217" s="28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s="2" customFormat="1" x14ac:dyDescent="0.3">
      <c r="A218" s="1"/>
      <c r="B218" s="1"/>
      <c r="C218" s="1"/>
      <c r="E218" s="5" t="s">
        <v>15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S218" s="28"/>
      <c r="T218" s="28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s="2" customFormat="1" x14ac:dyDescent="0.3">
      <c r="A219" s="1"/>
      <c r="B219" s="1"/>
      <c r="C219" s="1"/>
      <c r="E219" s="5" t="s">
        <v>14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  <c r="P219" s="10">
        <v>0</v>
      </c>
      <c r="Q219" s="10">
        <v>0</v>
      </c>
      <c r="S219" s="28"/>
      <c r="T219" s="28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s="2" customFormat="1" x14ac:dyDescent="0.3">
      <c r="A220" s="1"/>
      <c r="B220" s="1"/>
      <c r="C220" s="1"/>
      <c r="E220" s="5" t="s">
        <v>13</v>
      </c>
      <c r="F220" s="8">
        <v>0</v>
      </c>
      <c r="G220" s="8">
        <v>0</v>
      </c>
      <c r="H220" s="8">
        <v>0</v>
      </c>
      <c r="I220" s="8">
        <v>0</v>
      </c>
      <c r="J220" s="8">
        <v>0</v>
      </c>
      <c r="K220" s="8">
        <v>0</v>
      </c>
      <c r="L220" s="8">
        <v>0</v>
      </c>
      <c r="M220" s="8">
        <v>0</v>
      </c>
      <c r="N220" s="8">
        <v>0</v>
      </c>
      <c r="O220" s="8">
        <v>1</v>
      </c>
      <c r="P220" s="8">
        <v>3</v>
      </c>
      <c r="Q220" s="8">
        <v>4</v>
      </c>
      <c r="S220" s="28"/>
      <c r="T220" s="28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s="2" customFormat="1" x14ac:dyDescent="0.3">
      <c r="A221" s="1"/>
      <c r="B221" s="1"/>
      <c r="C221" s="1"/>
      <c r="E221" s="5" t="s">
        <v>12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1</v>
      </c>
      <c r="P221" s="8">
        <v>1</v>
      </c>
      <c r="Q221" s="8">
        <v>2</v>
      </c>
      <c r="S221" s="28"/>
      <c r="T221" s="28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s="2" customFormat="1" x14ac:dyDescent="0.3">
      <c r="A222" s="1"/>
      <c r="B222" s="1"/>
      <c r="C222" s="1"/>
      <c r="E222" s="5" t="s">
        <v>11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S222" s="28"/>
      <c r="T222" s="28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s="2" customFormat="1" x14ac:dyDescent="0.3">
      <c r="A223" s="1"/>
      <c r="B223" s="1"/>
      <c r="C223" s="1"/>
      <c r="E223" s="5" t="s">
        <v>50</v>
      </c>
      <c r="F223" s="42">
        <v>0</v>
      </c>
      <c r="G223" s="42">
        <v>0</v>
      </c>
      <c r="H223" s="42">
        <v>0</v>
      </c>
      <c r="I223" s="42">
        <v>0</v>
      </c>
      <c r="J223" s="42">
        <v>0</v>
      </c>
      <c r="K223" s="42">
        <v>0</v>
      </c>
      <c r="L223" s="42">
        <v>0</v>
      </c>
      <c r="M223" s="42">
        <v>0</v>
      </c>
      <c r="N223" s="42">
        <v>0</v>
      </c>
      <c r="O223" s="42">
        <v>0</v>
      </c>
      <c r="P223" s="42">
        <v>0</v>
      </c>
      <c r="Q223" s="42">
        <v>0</v>
      </c>
      <c r="S223" s="28"/>
      <c r="T223" s="28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s="2" customFormat="1" x14ac:dyDescent="0.3">
      <c r="A224" s="1"/>
      <c r="B224" s="1"/>
      <c r="C224" s="1"/>
      <c r="E224" s="5" t="s">
        <v>46</v>
      </c>
      <c r="F224" s="42">
        <v>0</v>
      </c>
      <c r="G224" s="42">
        <v>0</v>
      </c>
      <c r="H224" s="42">
        <v>0</v>
      </c>
      <c r="I224" s="42">
        <v>0</v>
      </c>
      <c r="J224" s="42">
        <v>0</v>
      </c>
      <c r="K224" s="42">
        <v>0</v>
      </c>
      <c r="L224" s="42">
        <v>0</v>
      </c>
      <c r="M224" s="42">
        <v>0</v>
      </c>
      <c r="N224" s="42">
        <v>0</v>
      </c>
      <c r="O224" s="42">
        <v>0</v>
      </c>
      <c r="P224" s="42">
        <v>3</v>
      </c>
      <c r="Q224" s="42">
        <v>0</v>
      </c>
      <c r="S224" s="28"/>
      <c r="T224" s="28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s="2" customFormat="1" x14ac:dyDescent="0.3">
      <c r="A225" s="1"/>
      <c r="B225" s="1"/>
      <c r="C225" s="1"/>
      <c r="E225" s="5" t="s">
        <v>6</v>
      </c>
      <c r="F225" s="23">
        <v>0</v>
      </c>
      <c r="G225" s="23">
        <v>0</v>
      </c>
      <c r="H225" s="23">
        <v>0</v>
      </c>
      <c r="I225" s="23">
        <v>0</v>
      </c>
      <c r="J225" s="23">
        <v>0</v>
      </c>
      <c r="K225" s="23">
        <v>0</v>
      </c>
      <c r="L225" s="23">
        <v>0</v>
      </c>
      <c r="M225" s="23">
        <v>407.55</v>
      </c>
      <c r="N225" s="23">
        <v>1033.76</v>
      </c>
      <c r="O225" s="23">
        <v>2129.3900000000003</v>
      </c>
      <c r="P225" s="23">
        <v>5296.0500000000011</v>
      </c>
      <c r="Q225" s="23">
        <v>5127.8900000000012</v>
      </c>
      <c r="S225" s="28"/>
      <c r="T225" s="28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s="2" customFormat="1" x14ac:dyDescent="0.3">
      <c r="A226" s="1"/>
      <c r="B226" s="1"/>
      <c r="C226" s="1"/>
      <c r="E226" s="5" t="s">
        <v>5</v>
      </c>
      <c r="F226" s="23">
        <v>0</v>
      </c>
      <c r="G226" s="23">
        <v>0</v>
      </c>
      <c r="H226" s="23">
        <v>0</v>
      </c>
      <c r="I226" s="23">
        <v>0</v>
      </c>
      <c r="J226" s="23">
        <v>0</v>
      </c>
      <c r="K226" s="23">
        <v>0</v>
      </c>
      <c r="L226" s="23">
        <v>0</v>
      </c>
      <c r="M226" s="23">
        <v>157.31</v>
      </c>
      <c r="N226" s="23">
        <v>521.71</v>
      </c>
      <c r="O226" s="23">
        <v>1720.4</v>
      </c>
      <c r="P226" s="23">
        <v>4019.5500000000006</v>
      </c>
      <c r="Q226" s="23">
        <v>4357.4900000000007</v>
      </c>
      <c r="S226" s="28"/>
      <c r="T226" s="28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s="2" customFormat="1" x14ac:dyDescent="0.3">
      <c r="A227" s="1"/>
      <c r="B227" s="1"/>
      <c r="C227" s="1"/>
      <c r="E227" s="5" t="s">
        <v>49</v>
      </c>
      <c r="F227" s="10">
        <f>IFERROR((1-F226/F225),0)</f>
        <v>0</v>
      </c>
      <c r="G227" s="10">
        <f>IFERROR((1-G226/G225),0)</f>
        <v>0</v>
      </c>
      <c r="H227" s="10">
        <f>IFERROR((1-H226/H225),0)</f>
        <v>0</v>
      </c>
      <c r="I227" s="10">
        <f>IFERROR((1-I226/I225),0)</f>
        <v>0</v>
      </c>
      <c r="J227" s="10">
        <f>IFERROR((1-J226/J225),0)</f>
        <v>0</v>
      </c>
      <c r="K227" s="10">
        <f>IFERROR((1-K226/K225),0)</f>
        <v>0</v>
      </c>
      <c r="L227" s="10">
        <f>IFERROR((1-L226/L225),0)</f>
        <v>0</v>
      </c>
      <c r="M227" s="10">
        <f>IFERROR((1-M226/M225),0)</f>
        <v>0.6140105508526561</v>
      </c>
      <c r="N227" s="10">
        <f>IFERROR((1-N226/N225),0)</f>
        <v>0.49532773564463706</v>
      </c>
      <c r="O227" s="10">
        <f>IFERROR((1-O226/O225),0)</f>
        <v>0.19206909020893315</v>
      </c>
      <c r="P227" s="10">
        <f>IFERROR((1-P226/P225),0)</f>
        <v>0.24102869119438075</v>
      </c>
      <c r="Q227" s="10">
        <f>IFERROR((1-Q226/Q225),0)</f>
        <v>0.15023723207791129</v>
      </c>
      <c r="S227" s="28"/>
      <c r="T227" s="28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s="2" customFormat="1" x14ac:dyDescent="0.3">
      <c r="A228" s="1"/>
      <c r="B228" s="1"/>
      <c r="C228" s="1"/>
      <c r="E228" s="5" t="s">
        <v>3</v>
      </c>
      <c r="F228" s="8">
        <v>0</v>
      </c>
      <c r="G228" s="8">
        <v>0</v>
      </c>
      <c r="H228" s="8">
        <v>0</v>
      </c>
      <c r="I228" s="8">
        <v>0</v>
      </c>
      <c r="J228" s="8">
        <v>0</v>
      </c>
      <c r="K228" s="8">
        <v>0</v>
      </c>
      <c r="L228" s="8">
        <v>0</v>
      </c>
      <c r="M228" s="8">
        <v>2</v>
      </c>
      <c r="N228" s="8">
        <v>4</v>
      </c>
      <c r="O228" s="8">
        <v>8</v>
      </c>
      <c r="P228" s="8">
        <v>14</v>
      </c>
      <c r="Q228" s="8">
        <v>4</v>
      </c>
      <c r="S228" s="28"/>
      <c r="T228" s="28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s="2" customFormat="1" x14ac:dyDescent="0.3">
      <c r="A229" s="1"/>
      <c r="B229" s="1"/>
      <c r="C229" s="1"/>
      <c r="E229" s="5" t="s">
        <v>2</v>
      </c>
      <c r="F229" s="24">
        <f>IFERROR(F225/F214,0)</f>
        <v>0</v>
      </c>
      <c r="G229" s="24">
        <f>IFERROR(G225/G214,0)</f>
        <v>0</v>
      </c>
      <c r="H229" s="24">
        <f>IFERROR(H225/H214,0)</f>
        <v>0</v>
      </c>
      <c r="I229" s="24">
        <f>IFERROR(I225/I214,0)</f>
        <v>0</v>
      </c>
      <c r="J229" s="24">
        <f>IFERROR(J225/J214,0)</f>
        <v>0</v>
      </c>
      <c r="K229" s="24">
        <f>IFERROR(K225/K214,0)</f>
        <v>0</v>
      </c>
      <c r="L229" s="24">
        <f>IFERROR(L225/L214,0)</f>
        <v>0</v>
      </c>
      <c r="M229" s="24">
        <f>IFERROR(M225/M214,0)</f>
        <v>203.77500000000001</v>
      </c>
      <c r="N229" s="24">
        <f>IFERROR(N225/N214,0)</f>
        <v>172.29333333333332</v>
      </c>
      <c r="O229" s="24">
        <f>IFERROR(O225/O214,0)</f>
        <v>163.7992307692308</v>
      </c>
      <c r="P229" s="24">
        <f>IFERROR(P225/P214,0)</f>
        <v>220.66875000000005</v>
      </c>
      <c r="Q229" s="24">
        <f>IFERROR(Q225/Q214,0)</f>
        <v>233.08590909090915</v>
      </c>
      <c r="R229" s="24">
        <f>IFERROR(R225/R214,0)</f>
        <v>0</v>
      </c>
      <c r="S229" s="28"/>
      <c r="T229" s="28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s="2" customFormat="1" x14ac:dyDescent="0.3">
      <c r="A230" s="1"/>
      <c r="B230" s="1"/>
      <c r="C230" s="1"/>
      <c r="E230" s="5" t="s">
        <v>1</v>
      </c>
      <c r="F230" s="56">
        <v>0</v>
      </c>
      <c r="G230" s="56">
        <v>0</v>
      </c>
      <c r="H230" s="56">
        <v>0</v>
      </c>
      <c r="I230" s="56">
        <v>0</v>
      </c>
      <c r="J230" s="56">
        <v>0</v>
      </c>
      <c r="K230" s="56">
        <v>0</v>
      </c>
      <c r="L230" s="56">
        <v>0</v>
      </c>
      <c r="M230" s="56">
        <v>0</v>
      </c>
      <c r="N230" s="56">
        <v>0</v>
      </c>
      <c r="O230" s="56">
        <v>0</v>
      </c>
      <c r="P230" s="56">
        <v>0</v>
      </c>
      <c r="Q230" s="56">
        <v>0</v>
      </c>
      <c r="S230" s="28"/>
      <c r="T230" s="28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s="2" customFormat="1" x14ac:dyDescent="0.3">
      <c r="A231" s="1"/>
      <c r="B231" s="1"/>
      <c r="C231" s="1"/>
      <c r="E231" s="5" t="s">
        <v>0</v>
      </c>
      <c r="F231" s="56">
        <v>0</v>
      </c>
      <c r="G231" s="56">
        <v>0</v>
      </c>
      <c r="H231" s="56">
        <v>0</v>
      </c>
      <c r="I231" s="56">
        <v>0</v>
      </c>
      <c r="J231" s="56">
        <v>0</v>
      </c>
      <c r="K231" s="56">
        <v>0</v>
      </c>
      <c r="L231" s="56">
        <v>0</v>
      </c>
      <c r="M231" s="56">
        <v>0</v>
      </c>
      <c r="N231" s="56">
        <v>0</v>
      </c>
      <c r="O231" s="56">
        <v>0</v>
      </c>
      <c r="P231" s="56">
        <v>0</v>
      </c>
      <c r="Q231" s="56">
        <v>0</v>
      </c>
      <c r="S231" s="28"/>
      <c r="T231" s="28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s="2" customFormat="1" ht="2.4" customHeight="1" x14ac:dyDescent="0.3">
      <c r="F232" s="55"/>
      <c r="G232" s="55"/>
      <c r="H232" s="55"/>
      <c r="I232" s="61"/>
      <c r="J232" s="55"/>
      <c r="K232" s="60"/>
      <c r="L232" s="29"/>
      <c r="M232" s="29"/>
      <c r="N232" s="29"/>
      <c r="O232" s="29"/>
      <c r="P232" s="29"/>
      <c r="Q232" s="29"/>
      <c r="S232" s="28"/>
      <c r="T232" s="28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s="2" customFormat="1" hidden="1" x14ac:dyDescent="0.3">
      <c r="F233" s="55">
        <v>174</v>
      </c>
      <c r="G233" s="55" t="e">
        <v>#REF!</v>
      </c>
      <c r="H233" s="55" t="e">
        <f>G172-H175+#REF!</f>
        <v>#REF!</v>
      </c>
      <c r="I233" s="55" t="e">
        <f>H172-I175+#REF!</f>
        <v>#REF!</v>
      </c>
      <c r="J233" s="55" t="e">
        <f>I172-J175+#REF!</f>
        <v>#REF!</v>
      </c>
      <c r="K233" s="55" t="e">
        <v>#REF!</v>
      </c>
      <c r="L233" s="55" t="e">
        <f>K172-L175+L323</f>
        <v>#VALUE!</v>
      </c>
      <c r="M233" s="55" t="e">
        <f>L172-M175+M323</f>
        <v>#VALUE!</v>
      </c>
      <c r="N233" s="55" t="e">
        <f>M172-N175+N323</f>
        <v>#VALUE!</v>
      </c>
      <c r="O233" s="55" t="e">
        <f>N172-O175+O323</f>
        <v>#VALUE!</v>
      </c>
      <c r="P233" s="55" t="e">
        <f>O172-P175+P323</f>
        <v>#VALUE!</v>
      </c>
      <c r="Q233" s="29"/>
      <c r="S233" s="28"/>
      <c r="T233" s="28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s="2" customFormat="1" hidden="1" x14ac:dyDescent="0.3">
      <c r="F234" s="55">
        <f>F172-F233</f>
        <v>-174</v>
      </c>
      <c r="G234" s="55" t="e">
        <v>#REF!</v>
      </c>
      <c r="H234" s="55" t="e">
        <f>H172-H233</f>
        <v>#REF!</v>
      </c>
      <c r="I234" s="55" t="e">
        <f>I172-I233</f>
        <v>#REF!</v>
      </c>
      <c r="J234" s="55" t="e">
        <f>J172-J233</f>
        <v>#REF!</v>
      </c>
      <c r="K234" s="55" t="e">
        <v>#REF!</v>
      </c>
      <c r="L234" s="55" t="e">
        <f>L172-L233</f>
        <v>#VALUE!</v>
      </c>
      <c r="M234" s="55" t="e">
        <f>M172-M233</f>
        <v>#VALUE!</v>
      </c>
      <c r="N234" s="55" t="e">
        <f>N172-N233</f>
        <v>#VALUE!</v>
      </c>
      <c r="O234" s="55" t="e">
        <f>O172-O233</f>
        <v>#VALUE!</v>
      </c>
      <c r="P234" s="55" t="e">
        <f>P172-P233</f>
        <v>#VALUE!</v>
      </c>
      <c r="Q234" s="29"/>
      <c r="S234" s="28"/>
      <c r="T234" s="28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s="2" customFormat="1" hidden="1" x14ac:dyDescent="0.3">
      <c r="F235" s="55"/>
      <c r="G235" s="55"/>
      <c r="H235" s="55"/>
      <c r="I235" s="55">
        <f>H287-I290+I301</f>
        <v>0</v>
      </c>
      <c r="J235" s="55">
        <f>I287-J290+J301</f>
        <v>0</v>
      </c>
      <c r="K235" s="55">
        <v>23</v>
      </c>
      <c r="L235" s="55">
        <f>K287-L290+L301</f>
        <v>0</v>
      </c>
      <c r="M235" s="55">
        <f>L287-M290+M301</f>
        <v>0</v>
      </c>
      <c r="N235" s="55">
        <f>M287-N290+N301</f>
        <v>0</v>
      </c>
      <c r="O235" s="55">
        <f>N287-O290+O301</f>
        <v>0</v>
      </c>
      <c r="P235" s="55">
        <f>O287-P290+P301</f>
        <v>-1</v>
      </c>
      <c r="Q235" s="29"/>
      <c r="S235" s="28"/>
      <c r="T235" s="28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s="2" customFormat="1" hidden="1" x14ac:dyDescent="0.3">
      <c r="F236" s="55"/>
      <c r="G236" s="55"/>
      <c r="H236" s="55"/>
      <c r="I236" s="55">
        <f>I287-I235</f>
        <v>0</v>
      </c>
      <c r="J236" s="55">
        <f>J287-J235</f>
        <v>0</v>
      </c>
      <c r="K236" s="55">
        <v>0</v>
      </c>
      <c r="L236" s="55">
        <f>L287-L235</f>
        <v>0</v>
      </c>
      <c r="M236" s="55">
        <f>M287-M235</f>
        <v>0</v>
      </c>
      <c r="N236" s="55">
        <f>N287-N235</f>
        <v>0</v>
      </c>
      <c r="O236" s="55">
        <f>O287-O235</f>
        <v>0</v>
      </c>
      <c r="P236" s="55">
        <f>P287-P235</f>
        <v>1</v>
      </c>
      <c r="Q236" s="29"/>
      <c r="S236" s="28"/>
      <c r="T236" s="28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s="2" customFormat="1" ht="1.2" customHeight="1" x14ac:dyDescent="0.3">
      <c r="F237" s="55"/>
      <c r="G237" s="55"/>
      <c r="H237" s="55"/>
      <c r="I237" s="61"/>
      <c r="J237" s="55"/>
      <c r="K237" s="60"/>
      <c r="L237" s="29"/>
      <c r="M237" s="29"/>
      <c r="N237" s="29"/>
      <c r="O237" s="29"/>
      <c r="P237" s="29"/>
      <c r="Q237" s="29"/>
      <c r="S237" s="28"/>
      <c r="T237" s="28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x14ac:dyDescent="0.3">
      <c r="E238" s="54" t="s">
        <v>33</v>
      </c>
      <c r="F238" s="54" t="s">
        <v>32</v>
      </c>
      <c r="G238" s="54" t="s">
        <v>31</v>
      </c>
      <c r="H238" s="54" t="s">
        <v>30</v>
      </c>
      <c r="I238" s="54" t="s">
        <v>29</v>
      </c>
      <c r="J238" s="54" t="s">
        <v>28</v>
      </c>
      <c r="K238" s="54" t="s">
        <v>27</v>
      </c>
      <c r="L238" s="54" t="s">
        <v>26</v>
      </c>
      <c r="M238" s="54" t="s">
        <v>25</v>
      </c>
      <c r="N238" s="54" t="s">
        <v>24</v>
      </c>
      <c r="O238" s="54" t="s">
        <v>23</v>
      </c>
      <c r="P238" s="54" t="s">
        <v>22</v>
      </c>
      <c r="Q238" s="54" t="s">
        <v>21</v>
      </c>
    </row>
    <row r="239" spans="1:107" x14ac:dyDescent="0.3">
      <c r="E239" s="5" t="s">
        <v>20</v>
      </c>
      <c r="F239" s="8">
        <f>SUM(F324,F124,F82,F103,F260,F145,F187,F36,F13,F166,F61,F213)</f>
        <v>0</v>
      </c>
      <c r="G239" s="8">
        <f>SUM(G324,G124,G82,G103,G260,G145,G187,G36,G13,G166,G61)</f>
        <v>0</v>
      </c>
      <c r="H239" s="8">
        <f>SUM(H324,H124,H82,H103,H260,H145,H187,H36,H13,H166,H61)</f>
        <v>0</v>
      </c>
      <c r="I239" s="8">
        <f>SUM(I324,I124,I82,I103,I260,I145,I187,I36,I13,I166,I61)</f>
        <v>0</v>
      </c>
      <c r="J239" s="8">
        <f>SUM(J324,J124,J82,J103,J260,J145,J187,J36,J13,J166,J61)</f>
        <v>0</v>
      </c>
      <c r="K239" s="8">
        <f>SUM(K324,K124,K82,K103,K260,K145,K187,K36,K13,K166,K61)</f>
        <v>0</v>
      </c>
      <c r="L239" s="8">
        <f>SUM(L324,L124,L82,L103,L260,L145,L187,L36,L13,L166,L61)</f>
        <v>0</v>
      </c>
      <c r="M239" s="8">
        <f>SUM(M324,M124,M82,M103,M260,M145,M187,M36,M13,M166,M61)</f>
        <v>0</v>
      </c>
      <c r="N239" s="8">
        <f>SUM(N324,N124,N82,N103,N260,N145,N187,N36,N13,N166,N61)</f>
        <v>0</v>
      </c>
      <c r="O239" s="8">
        <f>SUM(O324,O124,O82,O103,O260,O145,O187,O36,O13,O166,O61)</f>
        <v>0</v>
      </c>
      <c r="P239" s="8">
        <f>SUM(P324,P124,P82,P103,P260,P145,P187,P36,P13,P166,P61)</f>
        <v>0</v>
      </c>
      <c r="Q239" s="8">
        <f>SUM(Q324,Q124,Q82,Q103,Q260,Q145,Q187,Q36,Q13,Q166,Q61)</f>
        <v>0</v>
      </c>
    </row>
    <row r="240" spans="1:107" x14ac:dyDescent="0.3">
      <c r="E240" s="5" t="s">
        <v>19</v>
      </c>
      <c r="F240" s="8">
        <f>SUM(F261,F146,F188,F37,F14,F325,F283,F125,F83,F104,F167,F62,F214)</f>
        <v>21174</v>
      </c>
      <c r="G240" s="8">
        <f>SUM(G261,G146,G188,G37,G14,G325,G283,G125,G83,G104,G167,G62,G214)</f>
        <v>20576</v>
      </c>
      <c r="H240" s="8">
        <f>SUM(H261,H146,H188,H37,H14,H325,H283,H125,H83,H104,H167,H62,H214)</f>
        <v>19973</v>
      </c>
      <c r="I240" s="8">
        <f>SUM(I261,I146,I188,I37,I14,I325,I283,I125,I83,I104,I167,I62,I214)</f>
        <v>19054</v>
      </c>
      <c r="J240" s="8">
        <f>SUM(J261,J146,J188,J37,J14,J325,J283,J125,J83,J104,J167,J62,J214)</f>
        <v>18961</v>
      </c>
      <c r="K240" s="8">
        <f>SUM(K261,K146,K188,K37,K14,K325,K283,K125,K83,K104,K167,K62,K214)</f>
        <v>18346</v>
      </c>
      <c r="L240" s="8">
        <f>SUM(L261,L146,L188,L37,L14,L325,L283,L125,L83,L104,L167,L62,L214)</f>
        <v>17270</v>
      </c>
      <c r="M240" s="8">
        <f>SUM(M261,M146,M188,M37,M14,M325,M283,M125,M83,M104,M167,M62,M214)</f>
        <v>16362</v>
      </c>
      <c r="N240" s="8">
        <f>SUM(N261,N146,N188,N37,N14,N325,N283,N125,N83,N104,N167,N62,N214)</f>
        <v>15886</v>
      </c>
      <c r="O240" s="8">
        <f>SUM(O261,O146,O188,O37,O14,O283,O125,O83,O104,O167,O62,O214)</f>
        <v>13711</v>
      </c>
      <c r="P240" s="8">
        <f>SUM(P261,P146,P188,P37,P14,P283,P125,P83,P104,P167,P62,P214)</f>
        <v>13409</v>
      </c>
      <c r="Q240" s="8">
        <f>SUM(Q261,Q146,Q188,Q37,Q14,Q283,Q125,Q83,Q104,Q167,Q62,Q214)</f>
        <v>13112</v>
      </c>
    </row>
    <row r="241" spans="1:107" x14ac:dyDescent="0.3">
      <c r="E241" s="14" t="s">
        <v>41</v>
      </c>
      <c r="F241" s="8">
        <f>SUM(F262,F147,F189,F38,F15,F326,F284,F126,F84,F105,F168,F63,F215)</f>
        <v>1099</v>
      </c>
      <c r="G241" s="8">
        <f>SUM(G262,G147,G189,G38,G15,G326,G284,G126,G84,G105,G168,G63,G215)</f>
        <v>1045</v>
      </c>
      <c r="H241" s="8">
        <f>SUM(H262,H147,H189,H38,H15,H326,H284,H126,H84,H105,H168,H63,H215)</f>
        <v>1008</v>
      </c>
      <c r="I241" s="8">
        <f>SUM(I262,I147,I189,I38,I15,I326,I284,I126,I84,I105,I168,I63,I215)</f>
        <v>981</v>
      </c>
      <c r="J241" s="8">
        <f>SUM(J262,J147,J189,J38,J15,J326,J284,J126,J84,J105,J168,J63,J215)</f>
        <v>973</v>
      </c>
      <c r="K241" s="8">
        <f>SUM(K262,K147,K189,K38,K15,K326,K284,K126,K84,K105,K168,K63,K215)</f>
        <v>948</v>
      </c>
      <c r="L241" s="8">
        <f>SUM(L262,L147,L189,L38,L15,L326,L284,L126,L84,L105,L168,L63,L215)</f>
        <v>915</v>
      </c>
      <c r="M241" s="8">
        <f>SUM(M262,M147,M189,M38,M15,M326,M284,M126,M84,M105,M168,M63,M215)</f>
        <v>877</v>
      </c>
      <c r="N241" s="8">
        <f>SUM(N262,N147,N189,N38,N15,N326,N284,N126,N84,N105,N168,N63,N215)</f>
        <v>868</v>
      </c>
      <c r="O241" s="8">
        <f>SUM(O262,O147,O189,O38,O15,O284,O126,O84,O105,O168,O63,O215)</f>
        <v>834</v>
      </c>
      <c r="P241" s="8">
        <f>SUM(P262,P147,P189,P38,P15,P284,P126,P84,P105,P168,P63,P215)</f>
        <v>820</v>
      </c>
      <c r="Q241" s="8">
        <f>SUM(Q262,Q147,Q189,Q38,Q15,Q284,Q126,Q84,Q105,Q168,Q63,Q215)</f>
        <v>814</v>
      </c>
    </row>
    <row r="242" spans="1:107" x14ac:dyDescent="0.3">
      <c r="E242" s="14" t="s">
        <v>40</v>
      </c>
      <c r="F242" s="8">
        <f>SUM(F263,F148,F190,F39,F16,F327,F285,F127,F85,F106,F169,F64,F216)</f>
        <v>20075</v>
      </c>
      <c r="G242" s="8">
        <f>SUM(G263,G148,G190,G39,G16,G327,G285,G127,G85,G106,G169,G64,G216)</f>
        <v>19531</v>
      </c>
      <c r="H242" s="8">
        <f>SUM(H263,H148,H190,H39,H16,H327,H285,H127,H85,H106,H169,H64,H216)</f>
        <v>18965</v>
      </c>
      <c r="I242" s="8">
        <f>SUM(I263,I148,I190,I39,I16,I327,I285,I127,I85,I106,I169,I64,I216)</f>
        <v>18073</v>
      </c>
      <c r="J242" s="8">
        <f>SUM(J263,J148,J190,J39,J16,J327,J285,J127,J85,J106,J169,J64,J216)</f>
        <v>17988</v>
      </c>
      <c r="K242" s="8">
        <f>SUM(K263,K148,K190,K39,K16,K327,K285,K127,K85,K106,K169,K64,K216)</f>
        <v>17398</v>
      </c>
      <c r="L242" s="8">
        <f>SUM(L263,L148,L190,L39,L16,L327,L285,L127,L85,L106,L169,L64,L216)</f>
        <v>16355</v>
      </c>
      <c r="M242" s="8">
        <f>SUM(M263,M148,M190,M39,M16,M327,M285,M127,M85,M106,M169,M64,M216)</f>
        <v>15485</v>
      </c>
      <c r="N242" s="8">
        <f>SUM(N263,N148,N190,N39,N16,N327,N285,N127,N85,N106,N169,N64,N216)</f>
        <v>15018</v>
      </c>
      <c r="O242" s="8">
        <f>SUM(O263,O148,O190,O39,O16,O285,O127,O85,O106,O169,O64,O216)</f>
        <v>12877</v>
      </c>
      <c r="P242" s="8">
        <f>SUM(P263,P148,P190,P39,P16,P285,P127,P85,P106,P169,P64,P216)</f>
        <v>12589</v>
      </c>
      <c r="Q242" s="8">
        <f>SUM(Q263,Q148,Q190,Q39,Q16,Q285,Q127,Q85,Q106,Q169,Q64,Q216)</f>
        <v>12298</v>
      </c>
    </row>
    <row r="243" spans="1:107" x14ac:dyDescent="0.3">
      <c r="E243" s="5" t="s">
        <v>39</v>
      </c>
      <c r="F243" s="8">
        <f>SUM(F264,F149,F191,F40,F17,F328,F286,F128,F86,F107,F170,F65,F217)</f>
        <v>805</v>
      </c>
      <c r="G243" s="8">
        <f>SUM(G264,G149,G191,G40,G17,G328,G286,G128,G86,G107,G170,G65,G217)</f>
        <v>846</v>
      </c>
      <c r="H243" s="8">
        <f>SUM(H264,H149,H191,H40,H17,H328,H286,H128,H86,H107,H170,H65,H217)</f>
        <v>831</v>
      </c>
      <c r="I243" s="8">
        <f>SUM(I264,I149,I191,I40,I17,I328,I286,I128,I86,I107,I170,I65,I217)</f>
        <v>1165</v>
      </c>
      <c r="J243" s="8">
        <f>SUM(J264,J149,J191,J40,J17,J328,J286,J128,J86,J107,J170,J65,J217)</f>
        <v>771</v>
      </c>
      <c r="K243" s="8">
        <f>SUM(K264,K149,K191,K40,K17,K328,K286,K128,K86,K107,K170,K65,K217)</f>
        <v>767</v>
      </c>
      <c r="L243" s="8">
        <f>SUM(L264,L149,L191,L40,L17,L328,L286,L128,L86,L107,L170,L65,L217)</f>
        <v>1098</v>
      </c>
      <c r="M243" s="8">
        <f>SUM(M264,M149,M191,M40,M17,M328,M286,M128,M86,M107,M170,M65,M217)</f>
        <v>994</v>
      </c>
      <c r="N243" s="8">
        <f>SUM(N264,N149,N191,N40,N17,N328,N286,N128,N86,N107,N170,N65,N217)</f>
        <v>1040</v>
      </c>
      <c r="O243" s="8">
        <f>SUM(O264,O149,O191,O40,O17,O286,O128,O86,O107,O170,O65,O217)</f>
        <v>890</v>
      </c>
      <c r="P243" s="8">
        <f>SUM(P264,P149,P191,P40,P17,P286,P128,P86,P107,P170,P65,P217)</f>
        <v>728</v>
      </c>
      <c r="Q243" s="8">
        <f>SUM(Q264,Q149,Q191,Q40,Q17,Q286,Q128,Q86,Q107,Q170,Q65,Q217)</f>
        <v>629</v>
      </c>
    </row>
    <row r="244" spans="1:107" x14ac:dyDescent="0.3">
      <c r="E244" s="5" t="s">
        <v>15</v>
      </c>
      <c r="F244" s="8">
        <f>SUM(F265,F150,F192,F41,F18,F329,F287,F129,F87,F108,F171,F66,F218)</f>
        <v>346</v>
      </c>
      <c r="G244" s="8">
        <f>SUM(G265,G150,G192,G41,G18,G329,G287,G129,G87,G108,G171,G66,G218)</f>
        <v>279</v>
      </c>
      <c r="H244" s="8">
        <f>SUM(H265,H150,H192,H41,H18,H329,H287,H129,H87,H108,H171,H66,H218)</f>
        <v>459</v>
      </c>
      <c r="I244" s="8">
        <f>SUM(I265,I150,I192,I41,I18,I329,I287,I129,I87,I108,I171,I66,I218)</f>
        <v>264</v>
      </c>
      <c r="J244" s="8">
        <f>SUM(J265,J150,J192,J41,J18,J329,J287,J129,J87,J108,J171,J66,J218)</f>
        <v>243</v>
      </c>
      <c r="K244" s="8">
        <f>SUM(K265,K150,K192,K41,K18,K329,K287,K129,K87,K108,K171,K66,K218)</f>
        <v>502</v>
      </c>
      <c r="L244" s="8">
        <f>SUM(L265,L150,L192,L41,L18,L329,L287,L129,L87,L108,L171,L66,L218)</f>
        <v>398</v>
      </c>
      <c r="M244" s="8">
        <f>SUM(M265,M150,M192,M41,M18,M329,M287,M129,M87,M108,M171,M66,M218)</f>
        <v>286</v>
      </c>
      <c r="N244" s="8">
        <f>SUM(N265,N150,N192,N41,N18,N329,N287,N129,N87,N108,N171,N66,N218)</f>
        <v>261</v>
      </c>
      <c r="O244" s="8">
        <f>SUM(O265,O150,O192,O41,O18,O287,O129,O87,O108,O171,O66,O218)</f>
        <v>187</v>
      </c>
      <c r="P244" s="8">
        <f>SUM(P265,P150,P192,P41,P18,P287,P129,P87,P108,P171,P66,P218)</f>
        <v>145</v>
      </c>
      <c r="Q244" s="8">
        <f>SUM(Q265,Q150,Q192,Q41,Q18,Q287,Q129,Q87,Q108,Q171,Q66,Q218)</f>
        <v>104</v>
      </c>
    </row>
    <row r="245" spans="1:107" x14ac:dyDescent="0.3">
      <c r="E245" s="5" t="s">
        <v>14</v>
      </c>
      <c r="F245" s="10">
        <f>IFERROR(F243/'Relatório Indicadores 24'!Q236,0)</f>
        <v>3.6962211304467606E-2</v>
      </c>
      <c r="G245" s="10">
        <f>IFERROR(G243/F240,0)</f>
        <v>3.9954661377160666E-2</v>
      </c>
      <c r="H245" s="10">
        <f>IFERROR(H243/G240,0)</f>
        <v>4.0386858475894245E-2</v>
      </c>
      <c r="I245" s="10">
        <f>IFERROR(I243/H240,0)</f>
        <v>5.832874380413558E-2</v>
      </c>
      <c r="J245" s="10">
        <f>IFERROR(J243/I240,0)</f>
        <v>4.0463944578566183E-2</v>
      </c>
      <c r="K245" s="10">
        <f>IFERROR(K243/J240,0)</f>
        <v>4.0451452982437637E-2</v>
      </c>
      <c r="L245" s="10">
        <f>IFERROR(L243/K240,0)</f>
        <v>5.9849558486863623E-2</v>
      </c>
      <c r="M245" s="10">
        <f>IFERROR(M243/L240,0)</f>
        <v>5.7556456282570931E-2</v>
      </c>
      <c r="N245" s="10">
        <f>IFERROR(N243/M240,0)</f>
        <v>6.3561911746730232E-2</v>
      </c>
      <c r="O245" s="10">
        <f>IFERROR(O243/N240,0)</f>
        <v>5.6024172227118217E-2</v>
      </c>
      <c r="P245" s="10">
        <f>IFERROR(P243/O240,0)</f>
        <v>5.3096054263000514E-2</v>
      </c>
      <c r="Q245" s="10">
        <f>IFERROR(Q243/P240,0)</f>
        <v>4.6908792601983745E-2</v>
      </c>
    </row>
    <row r="246" spans="1:107" s="2" customFormat="1" x14ac:dyDescent="0.3">
      <c r="A246" s="1"/>
      <c r="B246" s="1"/>
      <c r="C246" s="1"/>
      <c r="E246" s="5" t="s">
        <v>13</v>
      </c>
      <c r="F246" s="8">
        <f>SUM(F267,F152,F194,F43,F20,F331,F289,F131,F89,F110,F173,F68,F220)</f>
        <v>255</v>
      </c>
      <c r="G246" s="8">
        <f>SUM(G267,G152,G194,G43,G20,G331,G289,G131,G89,G110,G173,G68,G220)</f>
        <v>241</v>
      </c>
      <c r="H246" s="8">
        <f>SUM(H267,H152,H194,H43,H20,H331,H289,H131,H89,H110,H173,H68,H220)</f>
        <v>253</v>
      </c>
      <c r="I246" s="8">
        <f>SUM(I267,I152,I194,I43,I20,I331,I289,I131,I89,I110,I173,I68,I220)</f>
        <v>247</v>
      </c>
      <c r="J246" s="8">
        <f>SUM(J267,J152,J194,J43,J20,J331,J289,J131,J89,J110,J173,J68,J220)</f>
        <v>194</v>
      </c>
      <c r="K246" s="8">
        <f>SUM(K267,K152,K194,K43,K20,K331,K289,K131,K89,K110,K173,K68,K220)</f>
        <v>215</v>
      </c>
      <c r="L246" s="8">
        <f>SUM(L267,L152,L194,L43,L20,L331,L289,L131,L89,L110,L173,L68,L220)</f>
        <v>183</v>
      </c>
      <c r="M246" s="8">
        <f>SUM(M267,M152,M194,M43,M20,M331,M289,M131,M89,M110,M173,M68,M220)</f>
        <v>216</v>
      </c>
      <c r="N246" s="8">
        <f>SUM(N267,N152,N194,N43,N20,N331,N289,N131,N89,N110,N173,N68,N220)</f>
        <v>256</v>
      </c>
      <c r="O246" s="8">
        <f>SUM(O267,O152,O194,O43,O20,O289,O131,O89,O110,O173,O68,O220)</f>
        <v>167</v>
      </c>
      <c r="P246" s="8">
        <f>SUM(P267,P152,P194,P43,P20,P289,P131,P89,P110,P173,P68,P220)</f>
        <v>163</v>
      </c>
      <c r="Q246" s="8">
        <f>SUM(Q267,Q152,Q194,Q43,Q20,Q289,Q131,Q89,Q110,Q173,Q68,Q220)</f>
        <v>134</v>
      </c>
      <c r="S246" s="28"/>
      <c r="T246" s="28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s="2" customFormat="1" x14ac:dyDescent="0.3">
      <c r="A247" s="1"/>
      <c r="B247" s="1"/>
      <c r="C247" s="1"/>
      <c r="E247" s="5" t="s">
        <v>12</v>
      </c>
      <c r="F247" s="8">
        <f>SUM(F268,F153,F195,F44,F21,F332,F290,F132,F90,F111,F174,F69,F221)</f>
        <v>505</v>
      </c>
      <c r="G247" s="8">
        <f>SUM(G268,G153,G195,G44,G21,G332,G290,G132,G90,G111,G174,G69,G221)</f>
        <v>525</v>
      </c>
      <c r="H247" s="8">
        <f>SUM(H268,H153,H195,H44,H21,H332,H290,H132,H90,H111,H174,H69,H221)</f>
        <v>521</v>
      </c>
      <c r="I247" s="8">
        <f>SUM(I268,I153,I195,I44,I21,I332,I290,I132,I90,I111,I174,I69,I221)</f>
        <v>481</v>
      </c>
      <c r="J247" s="8">
        <f>SUM(J268,J153,J195,J44,J21,J332,J290,J132,J90,J111,J174,J69,J221)</f>
        <v>499</v>
      </c>
      <c r="K247" s="8">
        <f>SUM(K268,K153,K195,K44,K21,K332,K290,K132,K90,K111,K174,K69,K221)</f>
        <v>460</v>
      </c>
      <c r="L247" s="8">
        <f>SUM(L268,L153,L195,L44,L21,L332,L290,L132,L90,L111,L174,L69,L221)</f>
        <v>855</v>
      </c>
      <c r="M247" s="8">
        <f>SUM(M268,M153,M195,M44,M21,M332,M290,M132,M90,M111,M174,M69,M221)</f>
        <v>653</v>
      </c>
      <c r="N247" s="8">
        <f>SUM(N268,N153,N195,N44,N21,N332,N290,N132,N90,N111,N174,N69,N221)</f>
        <v>671</v>
      </c>
      <c r="O247" s="8">
        <f>SUM(O268,O153,O195,O44,O21,O290,O132,O90,O111,O174,O69,O221)</f>
        <v>621</v>
      </c>
      <c r="P247" s="8">
        <f>SUM(P268,P153,P195,P44,P21,P290,P132,P90,P111,P174,P69,P221)</f>
        <v>449</v>
      </c>
      <c r="Q247" s="8">
        <f>SUM(Q268,Q153,Q195,Q44,Q21,Q290,Q132,Q90,Q111,Q174,Q69,Q221)</f>
        <v>417</v>
      </c>
      <c r="S247" s="28"/>
      <c r="T247" s="28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s="2" customFormat="1" x14ac:dyDescent="0.3">
      <c r="A248" s="1"/>
      <c r="B248" s="1"/>
      <c r="C248" s="1"/>
      <c r="E248" s="5" t="s">
        <v>11</v>
      </c>
      <c r="F248" s="8">
        <f>SUM(F269,F154,F196,F45,F22,F333,F291,F133,F91,F112,F175,F70,F222)</f>
        <v>38</v>
      </c>
      <c r="G248" s="8">
        <f>SUM(G269,G154,G196,G45,G22,G333,G291,G133,G91,G112,G175,G70,G222)</f>
        <v>67</v>
      </c>
      <c r="H248" s="8">
        <f>SUM(H269,H154,H196,H45,H22,H333,H291,H133,H91,H112,H175,H70,H222)</f>
        <v>34</v>
      </c>
      <c r="I248" s="8">
        <f>SUM(I269,I154,I196,I45,I22,I333,I291,I133,I91,I112,I175,I70,I222)</f>
        <v>57</v>
      </c>
      <c r="J248" s="8">
        <f>SUM(J269,J154,J196,J45,J22,J333,J291,J133,J91,J112,J175,J70,J222)</f>
        <v>62</v>
      </c>
      <c r="K248" s="8">
        <f>SUM(K269,K154,K196,K45,K22,K333,K291,K133,K91,K112,K175,K70,K222)</f>
        <v>70</v>
      </c>
      <c r="L248" s="8">
        <f>SUM(L269,L154,L196,L45,L22,L333,L291,L133,L91,L112,L175,L70,L222)</f>
        <v>48</v>
      </c>
      <c r="M248" s="8">
        <f>SUM(M269,M154,M196,M45,M22,M333,M291,M133,M91,M112,M175,M70,M222)</f>
        <v>121</v>
      </c>
      <c r="N248" s="8">
        <f>SUM(N269,N154,N196,N45,N22,N333,N291,N133,N91,N112,N175,N70,N222)</f>
        <v>106</v>
      </c>
      <c r="O248" s="8">
        <f>SUM(O269,O154,O196,O45,O22,O291,O133,O91,O112,O175,O70,O222)</f>
        <v>87</v>
      </c>
      <c r="P248" s="8">
        <f>SUM(P269,P154,P196,P45,P22,P291,P133,P91,P112,P175,P70,P222)</f>
        <v>91</v>
      </c>
      <c r="Q248" s="8">
        <f>SUM(Q269,Q154,Q196,Q45,Q22,Q291,Q133,Q91,Q112,Q175,Q70,Q222)</f>
        <v>74</v>
      </c>
      <c r="S248" s="28"/>
      <c r="T248" s="28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s="2" customFormat="1" x14ac:dyDescent="0.3">
      <c r="A249" s="1"/>
      <c r="B249" s="1"/>
      <c r="C249" s="1"/>
      <c r="E249" s="5" t="s">
        <v>50</v>
      </c>
      <c r="F249" s="8">
        <f>SUM(F270,F155,F197,F46,F23,F334,F292,F134,F92,F113,F176,F71,F223)</f>
        <v>4</v>
      </c>
      <c r="G249" s="8">
        <f>SUM(G270,G155,G197,G46,G23,G334,G292,G134,G92,G113,G176,G71,G223)</f>
        <v>5</v>
      </c>
      <c r="H249" s="8">
        <f>SUM(H270,H155,H197,H46,H23,H334,H292,H134,H92,H113,H176,H71,H223)</f>
        <v>2</v>
      </c>
      <c r="I249" s="8">
        <f>SUM(I270,I155,I197,I46,I23,I334,I292,I134,I92,I113,I176,I71,I223)</f>
        <v>7</v>
      </c>
      <c r="J249" s="8">
        <f>SUM(J270,J155,J197,J46,J23,J334,J292,J134,J92,J113,J176,J71,J223)</f>
        <v>10</v>
      </c>
      <c r="K249" s="8">
        <f>SUM(K270,K155,K197,K46,K23,K334,K292,K134,K92,K113,K176,K71,K223)</f>
        <v>5</v>
      </c>
      <c r="L249" s="8">
        <f>SUM(L270,L155,L197,L46,L23,L334,L292,L134,L92,L113,L176,L71,L223)</f>
        <v>3</v>
      </c>
      <c r="M249" s="8">
        <f>SUM(M270,M155,M197,M46,M23,M334,M292,M134,M92,M113,M176,M71,M223)</f>
        <v>1</v>
      </c>
      <c r="N249" s="8">
        <f>SUM(N270,N155,N197,N46,N23,N334,N292,N134,N92,N113,N176,N71,N223)</f>
        <v>5</v>
      </c>
      <c r="O249" s="8">
        <f>SUM(O270,O155,O197,O46,O23,O292,O134,O92,O113,O176,O71,O223)</f>
        <v>8</v>
      </c>
      <c r="P249" s="8">
        <f>SUM(P270,P155,P197,P46,P23,P292,P134,P92,P113,P176,P71,P223)</f>
        <v>2</v>
      </c>
      <c r="Q249" s="8">
        <f>SUM(Q270,Q155,Q197,Q46,Q23,Q292,Q134,Q92,Q113,Q176,Q71,Q223)</f>
        <v>3</v>
      </c>
      <c r="S249" s="28"/>
      <c r="T249" s="28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s="2" customFormat="1" x14ac:dyDescent="0.3">
      <c r="A250" s="1"/>
      <c r="B250" s="1"/>
      <c r="C250" s="1"/>
      <c r="E250" s="5" t="s">
        <v>46</v>
      </c>
      <c r="F250" s="8">
        <f>SUM(F271,F156,F198,F47,F24,F335,F293,F135,F93,F114,F177,F72,F224)</f>
        <v>3</v>
      </c>
      <c r="G250" s="8">
        <f>SUM(G271,G156,G198,G47,G24,G335,G293,G135,G93,G114,G177,G72,G224)</f>
        <v>8</v>
      </c>
      <c r="H250" s="8">
        <f>SUM(H271,H156,H198,H47,H24,H335,H293,H135,H93,H114,H177,H72,H224)</f>
        <v>21</v>
      </c>
      <c r="I250" s="8">
        <f>SUM(I271,I156,I198,I47,I24,I335,I293,I135,I93,I114,I177,I72,I224)</f>
        <v>373</v>
      </c>
      <c r="J250" s="8">
        <f>SUM(J271,J156,J198,J47,J24,J335,J293,J135,J93,J114,J177,J72,J224)</f>
        <v>6</v>
      </c>
      <c r="K250" s="8">
        <f>SUM(K271,K156,K198,K47,K24,K335,K293,K135,K93,K114,K177,K72,K224)</f>
        <v>17</v>
      </c>
      <c r="L250" s="8">
        <f>SUM(L271,L156,L198,L47,L24,L335,L293,L135,L93,L114,L177,L72,L224)</f>
        <v>9</v>
      </c>
      <c r="M250" s="8">
        <f>SUM(M271,M156,M198,M47,M24,M335,M293,M135,M93,M114,M177,M72,M224)</f>
        <v>3</v>
      </c>
      <c r="N250" s="8">
        <f>SUM(N271,N156,N198,N47,N24,N335,N293,N135,N93,N114,N177,N72,N224)</f>
        <v>2</v>
      </c>
      <c r="O250" s="8">
        <f>SUM(O271,O156,O198,O47,O24,O293,O135,O93,O114,O177,O72,O224)</f>
        <v>7</v>
      </c>
      <c r="P250" s="8">
        <f>SUM(P271,P156,P198,P47,P24,P293,P135,P93,P114,P177,P72,P224)</f>
        <v>23</v>
      </c>
      <c r="Q250" s="8">
        <f>SUM(Q271,Q156,Q198,Q47,Q24,Q293,Q135,Q93,Q114,Q177,Q72,Q224)</f>
        <v>1</v>
      </c>
      <c r="S250" s="28"/>
      <c r="T250" s="28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s="2" customFormat="1" x14ac:dyDescent="0.3">
      <c r="A251" s="1"/>
      <c r="B251" s="1"/>
      <c r="C251" s="1"/>
      <c r="E251" s="5" t="s">
        <v>6</v>
      </c>
      <c r="F251" s="23">
        <f>SUM(F272,F157,F199,F48,F25,F336,F294,F136,F94,F115,F178,F73,F225)</f>
        <v>19076353.460000109</v>
      </c>
      <c r="G251" s="23">
        <f>SUM(G272,G157,G199,G48,G25,G336,G294,G136,G94,G115,G178,G73,G225)</f>
        <v>18452613.470000066</v>
      </c>
      <c r="H251" s="23">
        <f>SUM(H272,H157,H199,H48,H25,H336,H294,H136,H94,H115,H178,H73,H225)</f>
        <v>18284169.970000178</v>
      </c>
      <c r="I251" s="23">
        <f>SUM(I272,I157,I199,I48,I25,I336,I294,I136,I94,I115,I178,I73,I225)</f>
        <v>17385582.220000088</v>
      </c>
      <c r="J251" s="23">
        <f>SUM(J272,J157,J199,J48,J25,J336,J294,J136,J94,J115,J178,J73,J225)</f>
        <v>17163829.740000073</v>
      </c>
      <c r="K251" s="23">
        <f>SUM(K272,K157,K199,K48,K25,K336,K294,K136,K94,K115,K178,K73,K225)</f>
        <v>16663999.020000083</v>
      </c>
      <c r="L251" s="23">
        <f>SUM(L272,L157,L199,L48,L25,L336,L294,L136,L94,L115,L178,L73,L225)</f>
        <v>17279464.440000094</v>
      </c>
      <c r="M251" s="23">
        <f>SUM(M272,M157,M199,M48,M25,M336,M294,M136,M94,M115,M178,M73,M225)</f>
        <v>16266869.570000075</v>
      </c>
      <c r="N251" s="23">
        <f>SUM(N272,N157,N199,N48,N25,N336,N294,N136,N94,N115,N178,N73,N225)</f>
        <v>15154017.120000064</v>
      </c>
      <c r="O251" s="23">
        <f>SUM(O272,O157,O199,O48,O25,O294,O136,O94,O115,O178,O73,O225)</f>
        <v>14105735.150000036</v>
      </c>
      <c r="P251" s="23">
        <f>SUM(P272,P157,P199,P48,P25,P294,P136,P94,P115,P178,P73,P225)</f>
        <v>13440159.399999952</v>
      </c>
      <c r="Q251" s="23">
        <v>12882355.32</v>
      </c>
      <c r="S251" s="28"/>
      <c r="T251" s="28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s="2" customFormat="1" x14ac:dyDescent="0.3">
      <c r="A252" s="1"/>
      <c r="B252" s="1"/>
      <c r="C252" s="1"/>
      <c r="E252" s="5" t="s">
        <v>5</v>
      </c>
      <c r="F252" s="23">
        <f>SUM(F273,F158,F200,F49,F26,F337,F295,F137,F95,F116,F179,F74,F226)</f>
        <v>17389608.800000113</v>
      </c>
      <c r="G252" s="23">
        <f>SUM(G273,G158,G200,G49,G26,G337,G295,G137,G95,G116,G179,G74,G226)</f>
        <v>16681269.190000061</v>
      </c>
      <c r="H252" s="23">
        <f>SUM(H273,H158,H200,H49,H26,H337,H295,H137,H95,H116,H179,H74,H226)</f>
        <v>16656143.400000175</v>
      </c>
      <c r="I252" s="23">
        <f>SUM(I273,I158,I200,I49,I26,I337,I295,I137,I95,I116,I179,I74,I226)</f>
        <v>15874301.880000085</v>
      </c>
      <c r="J252" s="23">
        <f>SUM(J273,J158,J200,J49,J26,J337,J295,J137,J95,J116,J179,J74,J226)</f>
        <v>15604164.20000007</v>
      </c>
      <c r="K252" s="23">
        <f>SUM(K273,K158,K200,K49,K26,K337,K295,K137,K95,K116,K179,K74,K226)</f>
        <v>14933117.830000086</v>
      </c>
      <c r="L252" s="23">
        <f>SUM(L273,L158,L200,L49,L26,L337,L295,L137,L95,L116,L179,L74,L226)</f>
        <v>15652596.270000098</v>
      </c>
      <c r="M252" s="23">
        <f>SUM(M273,M158,M200,M49,M26,M337,M295,M137,M95,M116,M179,M74,M226)</f>
        <v>14653110.820000075</v>
      </c>
      <c r="N252" s="23">
        <f>SUM(N273,N158,N200,N49,N26,N337,N295,N137,N95,N116,N179,N74,N226)</f>
        <v>13910365.660000063</v>
      </c>
      <c r="O252" s="23">
        <f>SUM(O273,O158,O200,O49,O26,O295,O137,O95,O116,O179,O74,O226)</f>
        <v>12648874.040000034</v>
      </c>
      <c r="P252" s="23">
        <f>SUM(P273,P158,P200,P49,P26,P295,P137,P95,P116,P179,P74,P226)</f>
        <v>11973003.63999995</v>
      </c>
      <c r="Q252" s="23">
        <v>11576786.180000098</v>
      </c>
      <c r="S252" s="28"/>
      <c r="T252" s="28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s="2" customFormat="1" x14ac:dyDescent="0.3">
      <c r="A253" s="1"/>
      <c r="B253" s="1"/>
      <c r="C253" s="1"/>
      <c r="E253" s="5" t="s">
        <v>49</v>
      </c>
      <c r="F253" s="10">
        <f>IFERROR((1-F252/F251),0)</f>
        <v>8.8420707004450039E-2</v>
      </c>
      <c r="G253" s="10">
        <f>IFERROR((1-G252/G251),0)</f>
        <v>9.5994222329526702E-2</v>
      </c>
      <c r="H253" s="10">
        <f>IFERROR((1-H252/H251),0)</f>
        <v>8.9040222918032041E-2</v>
      </c>
      <c r="I253" s="10">
        <f>IFERROR((1-I252/I251),0)</f>
        <v>8.6927220548383533E-2</v>
      </c>
      <c r="J253" s="10">
        <f>IFERROR((1-J252/J251),0)</f>
        <v>9.0869320170732237E-2</v>
      </c>
      <c r="K253" s="10">
        <f>IFERROR((1-K252/K251),0)</f>
        <v>0.10386949662698608</v>
      </c>
      <c r="L253" s="10">
        <f>IFERROR((1-L252/L251),0)</f>
        <v>9.4150381549671924E-2</v>
      </c>
      <c r="M253" s="10">
        <f>IFERROR((1-M252/M251),0)</f>
        <v>9.9205243089681483E-2</v>
      </c>
      <c r="N253" s="10">
        <f>IFERROR((1-N252/N251),0)</f>
        <v>8.2067444569443371E-2</v>
      </c>
      <c r="O253" s="10">
        <f>IFERROR((1-O252/O251),0)</f>
        <v>0.1032814734225318</v>
      </c>
      <c r="P253" s="10">
        <f>IFERROR((1-P252/P251),0)</f>
        <v>0.1091620803247324</v>
      </c>
      <c r="Q253" s="10">
        <f>IFERROR((1-Q252/Q251),0)</f>
        <v>0.10134553096614185</v>
      </c>
      <c r="S253" s="28"/>
      <c r="T253" s="28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s="2" customFormat="1" x14ac:dyDescent="0.3">
      <c r="A254" s="1"/>
      <c r="B254" s="1"/>
      <c r="C254" s="1"/>
      <c r="E254" s="5" t="s">
        <v>3</v>
      </c>
      <c r="F254" s="8">
        <f>SUM(F339,F275,F160,F202,F297,F51,F28,F139,F97,F118,F181,F76,F228)</f>
        <v>206</v>
      </c>
      <c r="G254" s="8">
        <f>SUM(G339,G275,G160,G202,G297,G51,G28,G139,G97,G118,G181,G76,G228)</f>
        <v>275</v>
      </c>
      <c r="H254" s="8">
        <f>SUM(H339,H275,H160,H202,H297,H51,H28,H139,H97,H118,H181,H76,H228)</f>
        <v>232</v>
      </c>
      <c r="I254" s="8">
        <f>SUM(I339,I275,I160,I202,I297,I51,I28,I139,I97,I118,I181,I76,I228)</f>
        <v>263</v>
      </c>
      <c r="J254" s="8">
        <f>SUM(J339,J275,J160,J202,J297,J51,J28,J139,J97,J118,J181,J76,J228)</f>
        <v>349</v>
      </c>
      <c r="K254" s="8">
        <f>SUM(K339,K275,K160,K202,K297,K51,K28,K139,K97,K118,K181,K76,K228)</f>
        <v>147</v>
      </c>
      <c r="L254" s="8">
        <f>SUM(L339,L275,L160,L202,L297,L51,L28,L139,L97,L118,L181,L76,L228)</f>
        <v>97</v>
      </c>
      <c r="M254" s="8">
        <f>SUM(M339,M275,M160,M202,M297,M51,M28,M139,M97,M118,M181,M76,M228)</f>
        <v>235</v>
      </c>
      <c r="N254" s="8">
        <f>SUM(N339,N275,N160,N202,N297,N51,N28,N139,N97,N118,N181,N76,N228)</f>
        <v>659</v>
      </c>
      <c r="O254" s="8">
        <f>SUM(O275,O160,O202,O297,O51,O28,O139,O97,O118,O181,O76,O228)</f>
        <v>482</v>
      </c>
      <c r="P254" s="8">
        <f>SUM(P275,P160,P202,P297,P51,P28,P139,P97,P118,P181,P76,P228)</f>
        <v>458</v>
      </c>
      <c r="Q254" s="8">
        <f>SUM(Q275,Q160,Q202,Q297,Q51,Q28,Q139,Q97,Q118,Q181,Q76,Q228)</f>
        <v>364</v>
      </c>
      <c r="S254" s="28"/>
      <c r="T254" s="28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s="2" customFormat="1" x14ac:dyDescent="0.3">
      <c r="A255" s="1"/>
      <c r="B255" s="1"/>
      <c r="C255" s="1"/>
      <c r="E255" s="5" t="s">
        <v>2</v>
      </c>
      <c r="F255" s="24">
        <f>IFERROR(F251/F240,0)</f>
        <v>900.93291111741325</v>
      </c>
      <c r="G255" s="24">
        <f>IFERROR(G251/G240,0)</f>
        <v>896.80275417962991</v>
      </c>
      <c r="H255" s="24">
        <f>IFERROR(H251/H240,0)</f>
        <v>915.44434837030883</v>
      </c>
      <c r="I255" s="24">
        <f>IFERROR(I251/I240,0)</f>
        <v>912.43740002099764</v>
      </c>
      <c r="J255" s="24">
        <f>IFERROR(J251/J240,0)</f>
        <v>905.21753810453424</v>
      </c>
      <c r="K255" s="24">
        <f>IFERROR(K251/K240,0)</f>
        <v>908.31783604055829</v>
      </c>
      <c r="L255" s="24">
        <f>IFERROR(L251/L240,0)</f>
        <v>1000.5480277938676</v>
      </c>
      <c r="M255" s="24">
        <f>IFERROR(M251/M240,0)</f>
        <v>994.18589231145791</v>
      </c>
      <c r="N255" s="24">
        <f>IFERROR(N251/N240,0)</f>
        <v>953.9227697343614</v>
      </c>
      <c r="O255" s="24">
        <f>IFERROR(O251/O240,0)</f>
        <v>1028.7896688790049</v>
      </c>
      <c r="P255" s="24">
        <f>IFERROR(P251/P240,0)</f>
        <v>1002.3237676187599</v>
      </c>
      <c r="Q255" s="24">
        <f>IFERROR(Q251/Q240,0)</f>
        <v>982.48591519219042</v>
      </c>
      <c r="S255" s="28"/>
      <c r="T255" s="28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s="2" customFormat="1" x14ac:dyDescent="0.3">
      <c r="A256" s="1"/>
      <c r="B256" s="1"/>
      <c r="C256" s="1"/>
      <c r="E256" s="5" t="s">
        <v>1</v>
      </c>
      <c r="F256" s="24">
        <v>0</v>
      </c>
      <c r="G256" s="24">
        <v>0</v>
      </c>
      <c r="H256" s="24">
        <v>0</v>
      </c>
      <c r="I256" s="24">
        <v>0</v>
      </c>
      <c r="J256" s="24">
        <v>0</v>
      </c>
      <c r="K256" s="24">
        <v>0</v>
      </c>
      <c r="L256" s="24">
        <v>0</v>
      </c>
      <c r="M256" s="24">
        <v>0</v>
      </c>
      <c r="N256" s="24">
        <v>0</v>
      </c>
      <c r="O256" s="24">
        <v>0</v>
      </c>
      <c r="P256" s="24">
        <v>0</v>
      </c>
      <c r="Q256" s="24">
        <v>0</v>
      </c>
      <c r="S256" s="28"/>
      <c r="T256" s="28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s="2" customFormat="1" x14ac:dyDescent="0.3">
      <c r="A257" s="1"/>
      <c r="B257" s="1"/>
      <c r="C257" s="1"/>
      <c r="E257" s="5" t="s">
        <v>0</v>
      </c>
      <c r="F257" s="24">
        <v>0</v>
      </c>
      <c r="G257" s="24">
        <v>0</v>
      </c>
      <c r="H257" s="24">
        <v>0</v>
      </c>
      <c r="I257" s="24">
        <v>0</v>
      </c>
      <c r="J257" s="24">
        <v>0</v>
      </c>
      <c r="K257" s="24">
        <v>0</v>
      </c>
      <c r="L257" s="24">
        <v>0</v>
      </c>
      <c r="M257" s="24">
        <v>0</v>
      </c>
      <c r="N257" s="24">
        <v>0</v>
      </c>
      <c r="O257" s="24">
        <v>0</v>
      </c>
      <c r="P257" s="24">
        <v>0</v>
      </c>
      <c r="Q257" s="24">
        <v>0</v>
      </c>
      <c r="S257" s="28"/>
      <c r="T257" s="28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s="2" customFormat="1" ht="4.2" customHeight="1" x14ac:dyDescent="0.3"/>
    <row r="259" spans="1:107" s="2" customFormat="1" x14ac:dyDescent="0.3">
      <c r="A259" s="1"/>
      <c r="B259" s="1"/>
      <c r="C259" s="1"/>
      <c r="E259" s="54" t="s">
        <v>33</v>
      </c>
      <c r="F259" s="54" t="s">
        <v>32</v>
      </c>
      <c r="G259" s="54" t="s">
        <v>31</v>
      </c>
      <c r="H259" s="54" t="s">
        <v>30</v>
      </c>
      <c r="I259" s="54" t="s">
        <v>29</v>
      </c>
      <c r="J259" s="54" t="s">
        <v>28</v>
      </c>
      <c r="K259" s="54" t="s">
        <v>27</v>
      </c>
      <c r="L259" s="54" t="s">
        <v>26</v>
      </c>
      <c r="M259" s="54" t="s">
        <v>25</v>
      </c>
      <c r="N259" s="54" t="s">
        <v>24</v>
      </c>
      <c r="O259" s="54" t="s">
        <v>23</v>
      </c>
      <c r="P259" s="54" t="s">
        <v>22</v>
      </c>
      <c r="Q259" s="54" t="s">
        <v>21</v>
      </c>
      <c r="S259" s="28"/>
      <c r="T259" s="28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x14ac:dyDescent="0.3">
      <c r="E260" s="5" t="s">
        <v>20</v>
      </c>
      <c r="F260" s="8">
        <v>0</v>
      </c>
      <c r="G260" s="80">
        <v>0</v>
      </c>
      <c r="H260" s="80">
        <v>0</v>
      </c>
      <c r="I260" s="80">
        <v>0</v>
      </c>
      <c r="J260" s="80">
        <v>0</v>
      </c>
      <c r="K260" s="80">
        <v>0</v>
      </c>
      <c r="L260" s="80">
        <v>0</v>
      </c>
      <c r="M260" s="80">
        <v>0</v>
      </c>
      <c r="N260" s="80">
        <v>0</v>
      </c>
      <c r="O260" s="80">
        <v>0</v>
      </c>
      <c r="P260" s="80">
        <v>0</v>
      </c>
      <c r="Q260" s="80">
        <v>0</v>
      </c>
    </row>
    <row r="261" spans="1:107" s="2" customFormat="1" x14ac:dyDescent="0.3">
      <c r="A261" s="1"/>
      <c r="B261" s="1"/>
      <c r="C261" s="1"/>
      <c r="E261" s="5" t="s">
        <v>19</v>
      </c>
      <c r="F261" s="8">
        <f>SUM(F262:F263)</f>
        <v>28</v>
      </c>
      <c r="G261" s="8">
        <f>SUM(G262:G263)</f>
        <v>29</v>
      </c>
      <c r="H261" s="8">
        <f>SUM(H262:H263)</f>
        <v>26</v>
      </c>
      <c r="I261" s="8">
        <f>SUM(I262:I263)</f>
        <v>26</v>
      </c>
      <c r="J261" s="8">
        <f>SUM(J262:J263)</f>
        <v>25</v>
      </c>
      <c r="K261" s="8">
        <v>23</v>
      </c>
      <c r="L261" s="8">
        <f>SUM(L262:L263)</f>
        <v>20</v>
      </c>
      <c r="M261" s="8">
        <f>SUM(M262:M263)</f>
        <v>19</v>
      </c>
      <c r="N261" s="8">
        <f>SUM(N262:N263)</f>
        <v>19</v>
      </c>
      <c r="O261" s="8">
        <f>SUM(O262:O263)</f>
        <v>20</v>
      </c>
      <c r="P261" s="8">
        <f>SUM(P262:P263)</f>
        <v>20</v>
      </c>
      <c r="Q261" s="8">
        <f>SUM(Q262:Q263)</f>
        <v>20</v>
      </c>
      <c r="S261" s="28"/>
      <c r="T261" s="28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s="2" customFormat="1" x14ac:dyDescent="0.3">
      <c r="A262" s="1"/>
      <c r="B262" s="1"/>
      <c r="C262" s="1"/>
      <c r="E262" s="14" t="s">
        <v>41</v>
      </c>
      <c r="F262" s="8">
        <v>0</v>
      </c>
      <c r="G262" s="80">
        <v>0</v>
      </c>
      <c r="H262" s="80">
        <v>0</v>
      </c>
      <c r="I262" s="80">
        <v>0</v>
      </c>
      <c r="J262" s="80">
        <v>0</v>
      </c>
      <c r="K262" s="80">
        <v>0</v>
      </c>
      <c r="L262" s="80">
        <v>0</v>
      </c>
      <c r="M262" s="80">
        <v>0</v>
      </c>
      <c r="N262" s="80">
        <v>0</v>
      </c>
      <c r="O262" s="80">
        <v>0</v>
      </c>
      <c r="P262" s="80">
        <v>0</v>
      </c>
      <c r="Q262" s="80">
        <v>0</v>
      </c>
      <c r="S262" s="28"/>
      <c r="T262" s="28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s="2" customFormat="1" x14ac:dyDescent="0.3">
      <c r="A263" s="1"/>
      <c r="B263" s="1"/>
      <c r="C263" s="1"/>
      <c r="E263" s="14" t="s">
        <v>40</v>
      </c>
      <c r="F263" s="8">
        <v>28</v>
      </c>
      <c r="G263" s="80">
        <v>29</v>
      </c>
      <c r="H263" s="80">
        <v>26</v>
      </c>
      <c r="I263" s="80">
        <v>26</v>
      </c>
      <c r="J263" s="80">
        <v>25</v>
      </c>
      <c r="K263" s="80">
        <v>23</v>
      </c>
      <c r="L263" s="80">
        <v>20</v>
      </c>
      <c r="M263" s="80">
        <v>19</v>
      </c>
      <c r="N263" s="80">
        <v>19</v>
      </c>
      <c r="O263" s="80">
        <v>20</v>
      </c>
      <c r="P263" s="80">
        <v>20</v>
      </c>
      <c r="Q263" s="80">
        <v>20</v>
      </c>
      <c r="S263" s="28"/>
      <c r="T263" s="28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s="2" customFormat="1" x14ac:dyDescent="0.3">
      <c r="A264" s="1"/>
      <c r="B264" s="1"/>
      <c r="C264" s="1"/>
      <c r="E264" s="5" t="s">
        <v>39</v>
      </c>
      <c r="F264" s="8">
        <f>SUM(F267:F271)</f>
        <v>3</v>
      </c>
      <c r="G264" s="8">
        <f>SUM(G267:G271)</f>
        <v>0</v>
      </c>
      <c r="H264" s="8">
        <f>SUM(H267:H271)</f>
        <v>3</v>
      </c>
      <c r="I264" s="8">
        <f>SUM(I267:I271)</f>
        <v>0</v>
      </c>
      <c r="J264" s="8">
        <f>SUM(J267:J271)</f>
        <v>1</v>
      </c>
      <c r="K264" s="8">
        <v>2</v>
      </c>
      <c r="L264" s="8">
        <f>SUM(L267:L271)</f>
        <v>3</v>
      </c>
      <c r="M264" s="8">
        <f>SUM(M267:M271)</f>
        <v>1</v>
      </c>
      <c r="N264" s="8">
        <f>SUM(N267:N271)</f>
        <v>0</v>
      </c>
      <c r="O264" s="8">
        <f>SUM(O267:O271)</f>
        <v>0</v>
      </c>
      <c r="P264" s="8">
        <f>SUM(P267:P271)</f>
        <v>0</v>
      </c>
      <c r="Q264" s="8">
        <f>SUM(Q267:Q271)</f>
        <v>0</v>
      </c>
      <c r="S264" s="28"/>
      <c r="T264" s="28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s="2" customFormat="1" x14ac:dyDescent="0.3">
      <c r="A265" s="1"/>
      <c r="B265" s="1"/>
      <c r="C265" s="1"/>
      <c r="E265" s="5" t="s">
        <v>15</v>
      </c>
      <c r="F265" s="8">
        <v>0</v>
      </c>
      <c r="G265" s="81">
        <v>0</v>
      </c>
      <c r="H265" s="81">
        <v>0</v>
      </c>
      <c r="I265" s="81">
        <v>0</v>
      </c>
      <c r="J265" s="81">
        <v>0</v>
      </c>
      <c r="K265" s="81">
        <v>0</v>
      </c>
      <c r="L265" s="81">
        <v>0</v>
      </c>
      <c r="M265" s="81">
        <v>0</v>
      </c>
      <c r="N265" s="81">
        <v>0</v>
      </c>
      <c r="O265" s="81">
        <v>0</v>
      </c>
      <c r="P265" s="81">
        <v>0</v>
      </c>
      <c r="Q265" s="81">
        <v>0</v>
      </c>
      <c r="S265" s="28"/>
      <c r="T265" s="28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s="2" customFormat="1" x14ac:dyDescent="0.3">
      <c r="A266" s="1"/>
      <c r="B266" s="1"/>
      <c r="C266" s="1"/>
      <c r="E266" s="5" t="s">
        <v>14</v>
      </c>
      <c r="F266" s="10">
        <f>IFERROR(F264/'Relatório Indicadores 24'!Q128,0)</f>
        <v>0.1</v>
      </c>
      <c r="G266" s="10">
        <f>IFERROR(G264/F261,0)</f>
        <v>0</v>
      </c>
      <c r="H266" s="10">
        <f>IFERROR(H264/G261,0)</f>
        <v>0.10344827586206896</v>
      </c>
      <c r="I266" s="10">
        <f>IFERROR(I264/H261,0)</f>
        <v>0</v>
      </c>
      <c r="J266" s="10">
        <f>IFERROR(J264/I261,0)</f>
        <v>3.8461538461538464E-2</v>
      </c>
      <c r="K266" s="10">
        <v>0.08</v>
      </c>
      <c r="L266" s="10">
        <f>IFERROR(L264/K261,0)</f>
        <v>0.13043478260869565</v>
      </c>
      <c r="M266" s="10">
        <f>IFERROR(M264/L261,0)</f>
        <v>0.05</v>
      </c>
      <c r="N266" s="10">
        <f>IFERROR(N264/M261,0)</f>
        <v>0</v>
      </c>
      <c r="O266" s="10">
        <f>IFERROR(O264/N261,0)</f>
        <v>0</v>
      </c>
      <c r="P266" s="10">
        <f>IFERROR(P264/O261,0)</f>
        <v>0</v>
      </c>
      <c r="Q266" s="10">
        <f>IFERROR(Q264/P261,0)</f>
        <v>0</v>
      </c>
      <c r="S266" s="28"/>
      <c r="T266" s="28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s="2" customFormat="1" x14ac:dyDescent="0.3">
      <c r="A267" s="1"/>
      <c r="B267" s="1"/>
      <c r="C267" s="1"/>
      <c r="E267" s="5" t="s">
        <v>13</v>
      </c>
      <c r="F267" s="8">
        <v>1</v>
      </c>
      <c r="G267" s="80">
        <v>0</v>
      </c>
      <c r="H267" s="80">
        <v>1</v>
      </c>
      <c r="I267" s="80">
        <v>0</v>
      </c>
      <c r="J267" s="80">
        <v>0</v>
      </c>
      <c r="K267" s="80">
        <v>0</v>
      </c>
      <c r="L267" s="80">
        <v>0</v>
      </c>
      <c r="M267" s="80">
        <v>0</v>
      </c>
      <c r="N267" s="80">
        <v>0</v>
      </c>
      <c r="O267" s="80">
        <v>0</v>
      </c>
      <c r="P267" s="80">
        <v>0</v>
      </c>
      <c r="Q267" s="80">
        <v>0</v>
      </c>
      <c r="S267" s="28"/>
      <c r="T267" s="28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s="2" customFormat="1" x14ac:dyDescent="0.3">
      <c r="A268" s="1"/>
      <c r="B268" s="1"/>
      <c r="C268" s="1"/>
      <c r="E268" s="5" t="s">
        <v>12</v>
      </c>
      <c r="F268" s="8">
        <v>1</v>
      </c>
      <c r="G268" s="80">
        <v>0</v>
      </c>
      <c r="H268" s="80">
        <v>2</v>
      </c>
      <c r="I268" s="80">
        <v>0</v>
      </c>
      <c r="J268" s="80">
        <v>1</v>
      </c>
      <c r="K268" s="80">
        <v>1</v>
      </c>
      <c r="L268" s="80">
        <v>2</v>
      </c>
      <c r="M268" s="80">
        <v>1</v>
      </c>
      <c r="N268" s="80">
        <v>0</v>
      </c>
      <c r="O268" s="80">
        <v>0</v>
      </c>
      <c r="P268" s="80">
        <v>0</v>
      </c>
      <c r="Q268" s="80">
        <v>0</v>
      </c>
      <c r="S268" s="28"/>
      <c r="T268" s="28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s="2" customFormat="1" x14ac:dyDescent="0.3">
      <c r="A269" s="1"/>
      <c r="B269" s="1"/>
      <c r="C269" s="1"/>
      <c r="E269" s="5" t="s">
        <v>11</v>
      </c>
      <c r="F269" s="8">
        <v>0</v>
      </c>
      <c r="G269" s="80">
        <v>0</v>
      </c>
      <c r="H269" s="80">
        <v>0</v>
      </c>
      <c r="I269" s="80">
        <v>0</v>
      </c>
      <c r="J269" s="80">
        <v>0</v>
      </c>
      <c r="K269" s="80">
        <v>0</v>
      </c>
      <c r="L269" s="80">
        <v>0</v>
      </c>
      <c r="M269" s="80">
        <v>0</v>
      </c>
      <c r="N269" s="80">
        <v>0</v>
      </c>
      <c r="O269" s="80">
        <v>0</v>
      </c>
      <c r="P269" s="80">
        <v>0</v>
      </c>
      <c r="Q269" s="80">
        <v>0</v>
      </c>
      <c r="S269" s="28"/>
      <c r="T269" s="28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s="2" customFormat="1" x14ac:dyDescent="0.3">
      <c r="A270" s="1"/>
      <c r="B270" s="1"/>
      <c r="C270" s="1"/>
      <c r="E270" s="5" t="s">
        <v>50</v>
      </c>
      <c r="F270" s="42">
        <v>0</v>
      </c>
      <c r="G270" s="79">
        <v>0</v>
      </c>
      <c r="H270" s="79">
        <v>0</v>
      </c>
      <c r="I270" s="79">
        <v>0</v>
      </c>
      <c r="J270" s="79">
        <v>0</v>
      </c>
      <c r="K270" s="79">
        <v>1</v>
      </c>
      <c r="L270" s="79">
        <v>0</v>
      </c>
      <c r="M270" s="79">
        <v>0</v>
      </c>
      <c r="N270" s="79">
        <v>0</v>
      </c>
      <c r="O270" s="79">
        <v>0</v>
      </c>
      <c r="P270" s="79">
        <v>0</v>
      </c>
      <c r="Q270" s="79">
        <v>0</v>
      </c>
      <c r="S270" s="28"/>
      <c r="T270" s="28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s="2" customFormat="1" x14ac:dyDescent="0.3">
      <c r="A271" s="1"/>
      <c r="B271" s="1"/>
      <c r="C271" s="1"/>
      <c r="E271" s="5" t="s">
        <v>46</v>
      </c>
      <c r="F271" s="42">
        <v>1</v>
      </c>
      <c r="G271" s="79">
        <v>0</v>
      </c>
      <c r="H271" s="79">
        <v>0</v>
      </c>
      <c r="I271" s="79">
        <v>0</v>
      </c>
      <c r="J271" s="79">
        <v>0</v>
      </c>
      <c r="K271" s="79">
        <v>0</v>
      </c>
      <c r="L271" s="79">
        <v>1</v>
      </c>
      <c r="M271" s="79">
        <v>0</v>
      </c>
      <c r="N271" s="79">
        <v>0</v>
      </c>
      <c r="O271" s="79">
        <v>0</v>
      </c>
      <c r="P271" s="79">
        <v>0</v>
      </c>
      <c r="Q271" s="79">
        <v>0</v>
      </c>
      <c r="S271" s="28"/>
      <c r="T271" s="28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s="2" customFormat="1" x14ac:dyDescent="0.3">
      <c r="A272" s="1"/>
      <c r="B272" s="1"/>
      <c r="C272" s="1"/>
      <c r="E272" s="5" t="s">
        <v>6</v>
      </c>
      <c r="F272" s="23">
        <v>35807.43</v>
      </c>
      <c r="G272" s="23">
        <v>37367.03</v>
      </c>
      <c r="H272" s="23">
        <v>35013.619999999995</v>
      </c>
      <c r="I272" s="23">
        <v>31876.48</v>
      </c>
      <c r="J272" s="23">
        <v>31686.270000000004</v>
      </c>
      <c r="K272" s="23">
        <v>27532.879999999997</v>
      </c>
      <c r="L272" s="23">
        <v>33720.85</v>
      </c>
      <c r="M272" s="23">
        <v>26418.699999999997</v>
      </c>
      <c r="N272" s="23">
        <v>26458.969999999998</v>
      </c>
      <c r="O272" s="23">
        <v>28544.5</v>
      </c>
      <c r="P272" s="23">
        <v>26308.730000000003</v>
      </c>
      <c r="Q272" s="23">
        <v>26911.210000000003</v>
      </c>
      <c r="S272" s="28"/>
      <c r="T272" s="28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s="2" customFormat="1" x14ac:dyDescent="0.3">
      <c r="A273" s="1"/>
      <c r="B273" s="1"/>
      <c r="C273" s="1"/>
      <c r="E273" s="5" t="s">
        <v>5</v>
      </c>
      <c r="F273" s="23">
        <v>30321.97</v>
      </c>
      <c r="G273" s="23">
        <v>28064.93</v>
      </c>
      <c r="H273" s="23">
        <v>29585.96</v>
      </c>
      <c r="I273" s="23">
        <v>28824.09</v>
      </c>
      <c r="J273" s="23">
        <v>25123.740000000005</v>
      </c>
      <c r="K273" s="23">
        <v>21416.449999999997</v>
      </c>
      <c r="L273" s="23">
        <v>30146.799999999999</v>
      </c>
      <c r="M273" s="23">
        <v>19902.219999999998</v>
      </c>
      <c r="N273" s="23">
        <v>23295.489999999998</v>
      </c>
      <c r="O273" s="23">
        <v>21970.97</v>
      </c>
      <c r="P273" s="23">
        <v>23878.97</v>
      </c>
      <c r="Q273" s="23">
        <v>23878.97</v>
      </c>
      <c r="S273" s="28"/>
      <c r="T273" s="28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s="2" customFormat="1" x14ac:dyDescent="0.3">
      <c r="A274" s="1"/>
      <c r="B274" s="1"/>
      <c r="C274" s="1"/>
      <c r="E274" s="5" t="s">
        <v>49</v>
      </c>
      <c r="F274" s="10">
        <f>IFERROR((1-F273/F272),0)</f>
        <v>0.15319334562687126</v>
      </c>
      <c r="G274" s="10">
        <f>IFERROR((1-G273/G272),0)</f>
        <v>0.24893870345060876</v>
      </c>
      <c r="H274" s="10">
        <f>IFERROR((1-H273/H272),0)</f>
        <v>0.15501567675664485</v>
      </c>
      <c r="I274" s="10">
        <f>IFERROR((1-I273/I272),0)</f>
        <v>9.5756808781898073E-2</v>
      </c>
      <c r="J274" s="10">
        <f>IFERROR((1-J273/J272),0)</f>
        <v>0.20710957774455618</v>
      </c>
      <c r="K274" s="10">
        <v>0.2221500257147091</v>
      </c>
      <c r="L274" s="10">
        <f>IFERROR((1-L273/L272),0)</f>
        <v>0.10598932114700543</v>
      </c>
      <c r="M274" s="10">
        <f>IFERROR((1-M273/M272),0)</f>
        <v>0.24666164497117571</v>
      </c>
      <c r="N274" s="10">
        <f>IFERROR((1-N273/N272),0)</f>
        <v>0.11956172141243593</v>
      </c>
      <c r="O274" s="10">
        <f>IFERROR((1-O273/O272),0)</f>
        <v>0.23029059888945325</v>
      </c>
      <c r="P274" s="10">
        <f>IFERROR((1-P273/P272),0)</f>
        <v>9.2355655328098418E-2</v>
      </c>
      <c r="Q274" s="10">
        <f>IFERROR((1-Q273/Q272),0)</f>
        <v>0.11267572138153581</v>
      </c>
      <c r="S274" s="28"/>
      <c r="T274" s="28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s="2" customFormat="1" x14ac:dyDescent="0.3">
      <c r="A275" s="1"/>
      <c r="B275" s="1"/>
      <c r="C275" s="1"/>
      <c r="E275" s="5" t="s">
        <v>3</v>
      </c>
      <c r="F275" s="8">
        <v>0</v>
      </c>
      <c r="G275" s="8">
        <v>0</v>
      </c>
      <c r="H275" s="8">
        <v>0</v>
      </c>
      <c r="I275" s="8">
        <v>0</v>
      </c>
      <c r="J275" s="8">
        <v>0</v>
      </c>
      <c r="K275" s="8">
        <v>0</v>
      </c>
      <c r="L275" s="8">
        <v>0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S275" s="28"/>
      <c r="T275" s="28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s="2" customFormat="1" x14ac:dyDescent="0.3">
      <c r="A276" s="1"/>
      <c r="B276" s="1"/>
      <c r="C276" s="1"/>
      <c r="E276" s="5" t="s">
        <v>2</v>
      </c>
      <c r="F276" s="24">
        <f>IFERROR(F272/F261,0)</f>
        <v>1278.8367857142857</v>
      </c>
      <c r="G276" s="24">
        <f>IFERROR(G272/G261,0)</f>
        <v>1288.518275862069</v>
      </c>
      <c r="H276" s="24">
        <f>IFERROR(H272/H261,0)</f>
        <v>1346.677692307692</v>
      </c>
      <c r="I276" s="24">
        <f>IFERROR(I272/I261,0)</f>
        <v>1226.0184615384615</v>
      </c>
      <c r="J276" s="24">
        <f>IFERROR(J272/J261,0)</f>
        <v>1267.4508000000001</v>
      </c>
      <c r="K276" s="24">
        <v>1197.0817391304347</v>
      </c>
      <c r="L276" s="24">
        <f>IFERROR(L272/L261,0)</f>
        <v>1686.0425</v>
      </c>
      <c r="M276" s="24">
        <f>IFERROR(M272/M261,0)</f>
        <v>1390.457894736842</v>
      </c>
      <c r="N276" s="24">
        <f>IFERROR(N272/N261,0)</f>
        <v>1392.5773684210526</v>
      </c>
      <c r="O276" s="24">
        <f>IFERROR(O272/O261,0)</f>
        <v>1427.2249999999999</v>
      </c>
      <c r="P276" s="24">
        <f>IFERROR(P272/P261,0)</f>
        <v>1315.4365000000003</v>
      </c>
      <c r="Q276" s="24">
        <f>IFERROR(Q272/Q261,0)</f>
        <v>1345.5605</v>
      </c>
      <c r="S276" s="28"/>
      <c r="T276" s="28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s="2" customFormat="1" x14ac:dyDescent="0.3">
      <c r="A277" s="1"/>
      <c r="B277" s="1"/>
      <c r="C277" s="1"/>
      <c r="E277" s="5" t="s">
        <v>1</v>
      </c>
      <c r="F277" s="56">
        <v>0</v>
      </c>
      <c r="G277" s="56">
        <v>0</v>
      </c>
      <c r="H277" s="56">
        <v>0</v>
      </c>
      <c r="I277" s="56">
        <v>0</v>
      </c>
      <c r="J277" s="56">
        <v>0</v>
      </c>
      <c r="K277" s="56">
        <v>0</v>
      </c>
      <c r="L277" s="56">
        <v>0</v>
      </c>
      <c r="M277" s="56">
        <v>0</v>
      </c>
      <c r="N277" s="56">
        <v>0</v>
      </c>
      <c r="O277" s="56">
        <v>0</v>
      </c>
      <c r="P277" s="56">
        <v>0</v>
      </c>
      <c r="Q277" s="56">
        <v>0</v>
      </c>
      <c r="S277" s="28"/>
      <c r="T277" s="28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s="2" customFormat="1" x14ac:dyDescent="0.3">
      <c r="A278" s="1"/>
      <c r="B278" s="1"/>
      <c r="C278" s="1"/>
      <c r="E278" s="5" t="s">
        <v>0</v>
      </c>
      <c r="F278" s="56">
        <v>0</v>
      </c>
      <c r="G278" s="56">
        <v>0</v>
      </c>
      <c r="H278" s="56">
        <v>0</v>
      </c>
      <c r="I278" s="56">
        <v>0</v>
      </c>
      <c r="J278" s="56">
        <v>0</v>
      </c>
      <c r="K278" s="56">
        <v>0</v>
      </c>
      <c r="L278" s="56">
        <v>0</v>
      </c>
      <c r="M278" s="56">
        <v>0</v>
      </c>
      <c r="N278" s="56">
        <v>0</v>
      </c>
      <c r="O278" s="56">
        <v>0</v>
      </c>
      <c r="P278" s="56">
        <v>0</v>
      </c>
      <c r="Q278" s="56">
        <v>0</v>
      </c>
      <c r="S278" s="28"/>
      <c r="T278" s="28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s="2" customFormat="1" hidden="1" x14ac:dyDescent="0.3">
      <c r="F279" s="55"/>
      <c r="G279" s="55"/>
      <c r="H279" s="55"/>
      <c r="I279" s="61"/>
      <c r="J279" s="55"/>
      <c r="K279" s="60"/>
      <c r="L279" s="29"/>
      <c r="M279" s="29"/>
      <c r="N279" s="29"/>
      <c r="O279" s="29"/>
      <c r="P279" s="29"/>
      <c r="Q279" s="29"/>
      <c r="S279" s="28"/>
      <c r="T279" s="28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s="2" customFormat="1" hidden="1" x14ac:dyDescent="0.3">
      <c r="F280" s="55"/>
      <c r="G280" s="55"/>
      <c r="H280" s="55"/>
      <c r="I280" s="61"/>
      <c r="J280" s="55"/>
      <c r="K280" s="60"/>
      <c r="L280" s="29"/>
      <c r="M280" s="29"/>
      <c r="N280" s="29"/>
      <c r="O280" s="29"/>
      <c r="P280" s="29"/>
      <c r="Q280" s="29"/>
      <c r="S280" s="28"/>
      <c r="T280" s="28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s="2" customFormat="1" ht="3.6" customHeight="1" x14ac:dyDescent="0.3">
      <c r="F281" s="55"/>
      <c r="G281" s="55"/>
      <c r="H281" s="55"/>
      <c r="I281" s="61"/>
      <c r="J281" s="55"/>
      <c r="K281" s="60"/>
      <c r="L281" s="29"/>
      <c r="M281" s="29"/>
      <c r="N281" s="29"/>
      <c r="O281" s="29"/>
      <c r="P281" s="29"/>
      <c r="Q281" s="29"/>
      <c r="S281" s="28"/>
      <c r="T281" s="28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s="2" customFormat="1" x14ac:dyDescent="0.3">
      <c r="A282" s="1"/>
      <c r="B282" s="1"/>
      <c r="C282" s="1"/>
      <c r="E282" s="54" t="s">
        <v>33</v>
      </c>
      <c r="F282" s="54" t="s">
        <v>32</v>
      </c>
      <c r="G282" s="54" t="s">
        <v>31</v>
      </c>
      <c r="H282" s="54" t="s">
        <v>30</v>
      </c>
      <c r="I282" s="54" t="s">
        <v>29</v>
      </c>
      <c r="J282" s="54" t="s">
        <v>28</v>
      </c>
      <c r="K282" s="54" t="s">
        <v>27</v>
      </c>
      <c r="L282" s="54" t="s">
        <v>26</v>
      </c>
      <c r="M282" s="54" t="s">
        <v>25</v>
      </c>
      <c r="N282" s="54" t="s">
        <v>24</v>
      </c>
      <c r="O282" s="54" t="s">
        <v>23</v>
      </c>
      <c r="P282" s="54" t="s">
        <v>22</v>
      </c>
      <c r="Q282" s="54" t="s">
        <v>21</v>
      </c>
      <c r="S282" s="28"/>
      <c r="T282" s="28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s="2" customFormat="1" x14ac:dyDescent="0.3">
      <c r="A283" s="1"/>
      <c r="B283" s="1"/>
      <c r="C283" s="1"/>
      <c r="E283" s="5" t="s">
        <v>19</v>
      </c>
      <c r="F283" s="8">
        <f>SUM(F284:F285)</f>
        <v>15</v>
      </c>
      <c r="G283" s="8">
        <f>SUM(G284:G285)</f>
        <v>13</v>
      </c>
      <c r="H283" s="8">
        <f>SUM(H284:H285)</f>
        <v>13</v>
      </c>
      <c r="I283" s="8">
        <f>SUM(I284:I285)</f>
        <v>13</v>
      </c>
      <c r="J283" s="8">
        <f>SUM(J284:J285)</f>
        <v>15</v>
      </c>
      <c r="K283" s="8">
        <v>15</v>
      </c>
      <c r="L283" s="8">
        <f>SUM(L284:L285)</f>
        <v>15</v>
      </c>
      <c r="M283" s="8">
        <f>SUM(M284:M285)</f>
        <v>15</v>
      </c>
      <c r="N283" s="8">
        <f>SUM(N284:N285)</f>
        <v>13</v>
      </c>
      <c r="O283" s="8">
        <f>SUM(O284:O285)</f>
        <v>13</v>
      </c>
      <c r="P283" s="8">
        <f>SUM(P284:P285)</f>
        <v>11</v>
      </c>
      <c r="Q283" s="8">
        <f>SUM(Q284:Q285)</f>
        <v>11</v>
      </c>
      <c r="S283" s="28"/>
      <c r="T283" s="28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s="2" customFormat="1" x14ac:dyDescent="0.3">
      <c r="A284" s="1"/>
      <c r="B284" s="1"/>
      <c r="C284" s="1"/>
      <c r="E284" s="14" t="s">
        <v>41</v>
      </c>
      <c r="F284" s="8">
        <v>0</v>
      </c>
      <c r="G284" s="80">
        <v>0</v>
      </c>
      <c r="H284" s="80">
        <v>0</v>
      </c>
      <c r="I284" s="80">
        <v>0</v>
      </c>
      <c r="J284" s="80">
        <v>0</v>
      </c>
      <c r="K284" s="80">
        <v>0</v>
      </c>
      <c r="L284" s="80">
        <v>0</v>
      </c>
      <c r="M284" s="80">
        <v>0</v>
      </c>
      <c r="N284" s="80">
        <v>0</v>
      </c>
      <c r="O284" s="80">
        <v>0</v>
      </c>
      <c r="P284" s="80">
        <v>0</v>
      </c>
      <c r="Q284" s="80">
        <v>0</v>
      </c>
      <c r="S284" s="28"/>
      <c r="T284" s="28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s="2" customFormat="1" x14ac:dyDescent="0.3">
      <c r="A285" s="1"/>
      <c r="B285" s="1"/>
      <c r="C285" s="1"/>
      <c r="E285" s="14" t="s">
        <v>40</v>
      </c>
      <c r="F285" s="8">
        <v>15</v>
      </c>
      <c r="G285" s="80">
        <v>13</v>
      </c>
      <c r="H285" s="80">
        <v>13</v>
      </c>
      <c r="I285" s="80">
        <v>13</v>
      </c>
      <c r="J285" s="80">
        <v>15</v>
      </c>
      <c r="K285" s="80">
        <v>15</v>
      </c>
      <c r="L285" s="80">
        <v>15</v>
      </c>
      <c r="M285" s="80">
        <v>15</v>
      </c>
      <c r="N285" s="80">
        <v>13</v>
      </c>
      <c r="O285" s="80">
        <v>13</v>
      </c>
      <c r="P285" s="80">
        <v>11</v>
      </c>
      <c r="Q285" s="80">
        <v>11</v>
      </c>
      <c r="S285" s="28"/>
      <c r="T285" s="28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s="2" customFormat="1" x14ac:dyDescent="0.3">
      <c r="A286" s="1"/>
      <c r="B286" s="1"/>
      <c r="C286" s="1"/>
      <c r="E286" s="5" t="s">
        <v>39</v>
      </c>
      <c r="F286" s="8">
        <f>SUM(F289:F293)</f>
        <v>0</v>
      </c>
      <c r="G286" s="8">
        <f>SUM(G289:G293)</f>
        <v>2</v>
      </c>
      <c r="H286" s="8">
        <f>SUM(H289:H293)</f>
        <v>0</v>
      </c>
      <c r="I286" s="8">
        <f>SUM(I289:I293)</f>
        <v>0</v>
      </c>
      <c r="J286" s="8">
        <f>SUM(J289:J293)</f>
        <v>0</v>
      </c>
      <c r="K286" s="8">
        <v>0</v>
      </c>
      <c r="L286" s="8">
        <f>SUM(L289:L293)</f>
        <v>0</v>
      </c>
      <c r="M286" s="8">
        <f>SUM(M289:M293)</f>
        <v>0</v>
      </c>
      <c r="N286" s="8">
        <f>SUM(N289:N293)</f>
        <v>0</v>
      </c>
      <c r="O286" s="8">
        <f>SUM(O289:O293)</f>
        <v>0</v>
      </c>
      <c r="P286" s="8">
        <f>SUM(P289:P293)</f>
        <v>1</v>
      </c>
      <c r="Q286" s="8">
        <f>SUM(Q289:Q293)</f>
        <v>0</v>
      </c>
      <c r="S286" s="28"/>
      <c r="T286" s="28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s="2" customFormat="1" x14ac:dyDescent="0.3">
      <c r="A287" s="1"/>
      <c r="B287" s="1"/>
      <c r="C287" s="1"/>
      <c r="E287" s="5" t="s">
        <v>15</v>
      </c>
      <c r="F287" s="8">
        <v>0</v>
      </c>
      <c r="G287" s="81">
        <v>0</v>
      </c>
      <c r="H287" s="81">
        <v>0</v>
      </c>
      <c r="I287" s="81">
        <v>0</v>
      </c>
      <c r="J287" s="81">
        <v>0</v>
      </c>
      <c r="K287" s="81">
        <v>0</v>
      </c>
      <c r="L287" s="81">
        <v>0</v>
      </c>
      <c r="M287" s="81">
        <v>0</v>
      </c>
      <c r="N287" s="81">
        <v>0</v>
      </c>
      <c r="O287" s="81">
        <v>0</v>
      </c>
      <c r="P287" s="81">
        <v>0</v>
      </c>
      <c r="Q287" s="81">
        <v>0</v>
      </c>
      <c r="S287" s="28"/>
      <c r="T287" s="28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s="2" customFormat="1" x14ac:dyDescent="0.3">
      <c r="A288" s="1"/>
      <c r="B288" s="1"/>
      <c r="C288" s="1"/>
      <c r="E288" s="5" t="s">
        <v>14</v>
      </c>
      <c r="F288" s="10">
        <f>IFERROR(F286/'Relatório Indicadores 24'!Q59,0)</f>
        <v>0</v>
      </c>
      <c r="G288" s="10">
        <f>IFERROR(G286/F283,0)</f>
        <v>0.13333333333333333</v>
      </c>
      <c r="H288" s="10">
        <f>IFERROR(H286/G283,0)</f>
        <v>0</v>
      </c>
      <c r="I288" s="10">
        <f>IFERROR(I286/H283,0)</f>
        <v>0</v>
      </c>
      <c r="J288" s="10">
        <f>IFERROR(J286/I283,0)</f>
        <v>0</v>
      </c>
      <c r="K288" s="10">
        <v>0</v>
      </c>
      <c r="L288" s="10">
        <f>IFERROR(L286/K283,0)</f>
        <v>0</v>
      </c>
      <c r="M288" s="10">
        <f>IFERROR(M286/L283,0)</f>
        <v>0</v>
      </c>
      <c r="N288" s="10">
        <f>IFERROR(N286/M283,0)</f>
        <v>0</v>
      </c>
      <c r="O288" s="10">
        <f>IFERROR(O286/N283,0)</f>
        <v>0</v>
      </c>
      <c r="P288" s="10">
        <f>IFERROR(P286/O283,0)</f>
        <v>7.6923076923076927E-2</v>
      </c>
      <c r="Q288" s="10">
        <f>IFERROR(Q286/P283,0)</f>
        <v>0</v>
      </c>
      <c r="S288" s="28"/>
      <c r="T288" s="28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s="2" customFormat="1" x14ac:dyDescent="0.3">
      <c r="A289" s="1"/>
      <c r="B289" s="1"/>
      <c r="C289" s="1"/>
      <c r="E289" s="5" t="s">
        <v>13</v>
      </c>
      <c r="F289" s="8">
        <v>0</v>
      </c>
      <c r="G289" s="8">
        <v>2</v>
      </c>
      <c r="H289" s="8">
        <v>0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S289" s="28"/>
      <c r="T289" s="28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s="2" customFormat="1" x14ac:dyDescent="0.3">
      <c r="A290" s="1"/>
      <c r="B290" s="1"/>
      <c r="C290" s="1"/>
      <c r="E290" s="5" t="s">
        <v>12</v>
      </c>
      <c r="F290" s="8">
        <v>0</v>
      </c>
      <c r="G290" s="80">
        <v>0</v>
      </c>
      <c r="H290" s="80">
        <v>0</v>
      </c>
      <c r="I290" s="80">
        <v>0</v>
      </c>
      <c r="J290" s="80">
        <v>0</v>
      </c>
      <c r="K290" s="80">
        <v>0</v>
      </c>
      <c r="L290" s="80">
        <v>0</v>
      </c>
      <c r="M290" s="80">
        <v>0</v>
      </c>
      <c r="N290" s="80">
        <v>0</v>
      </c>
      <c r="O290" s="80">
        <v>0</v>
      </c>
      <c r="P290" s="80">
        <v>1</v>
      </c>
      <c r="Q290" s="80">
        <v>0</v>
      </c>
      <c r="S290" s="28"/>
      <c r="T290" s="28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s="2" customFormat="1" x14ac:dyDescent="0.3">
      <c r="A291" s="1"/>
      <c r="B291" s="1"/>
      <c r="C291" s="1"/>
      <c r="E291" s="5" t="s">
        <v>11</v>
      </c>
      <c r="F291" s="8">
        <v>0</v>
      </c>
      <c r="G291" s="80">
        <v>0</v>
      </c>
      <c r="H291" s="80">
        <v>0</v>
      </c>
      <c r="I291" s="80">
        <v>0</v>
      </c>
      <c r="J291" s="80">
        <v>0</v>
      </c>
      <c r="K291" s="80">
        <v>0</v>
      </c>
      <c r="L291" s="80">
        <v>0</v>
      </c>
      <c r="M291" s="80">
        <v>0</v>
      </c>
      <c r="N291" s="80">
        <v>0</v>
      </c>
      <c r="O291" s="80">
        <v>0</v>
      </c>
      <c r="P291" s="80">
        <v>0</v>
      </c>
      <c r="Q291" s="80">
        <v>0</v>
      </c>
      <c r="S291" s="28"/>
      <c r="T291" s="28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s="2" customFormat="1" x14ac:dyDescent="0.3">
      <c r="A292" s="1"/>
      <c r="B292" s="1"/>
      <c r="C292" s="1"/>
      <c r="E292" s="5" t="s">
        <v>50</v>
      </c>
      <c r="F292" s="8">
        <v>0</v>
      </c>
      <c r="G292" s="80">
        <v>0</v>
      </c>
      <c r="H292" s="80">
        <v>0</v>
      </c>
      <c r="I292" s="80">
        <v>0</v>
      </c>
      <c r="J292" s="80">
        <v>0</v>
      </c>
      <c r="K292" s="80">
        <v>0</v>
      </c>
      <c r="L292" s="80">
        <v>0</v>
      </c>
      <c r="M292" s="80">
        <v>0</v>
      </c>
      <c r="N292" s="80">
        <v>0</v>
      </c>
      <c r="O292" s="80">
        <v>0</v>
      </c>
      <c r="P292" s="80">
        <v>0</v>
      </c>
      <c r="Q292" s="80">
        <v>0</v>
      </c>
      <c r="S292" s="28"/>
      <c r="T292" s="28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s="2" customFormat="1" x14ac:dyDescent="0.3">
      <c r="A293" s="1"/>
      <c r="B293" s="1"/>
      <c r="C293" s="1"/>
      <c r="E293" s="5" t="s">
        <v>46</v>
      </c>
      <c r="F293" s="42">
        <v>0</v>
      </c>
      <c r="G293" s="79">
        <v>0</v>
      </c>
      <c r="H293" s="79">
        <v>0</v>
      </c>
      <c r="I293" s="79">
        <v>0</v>
      </c>
      <c r="J293" s="79">
        <v>0</v>
      </c>
      <c r="K293" s="79">
        <v>0</v>
      </c>
      <c r="L293" s="79">
        <v>0</v>
      </c>
      <c r="M293" s="79">
        <v>0</v>
      </c>
      <c r="N293" s="79">
        <v>0</v>
      </c>
      <c r="O293" s="79">
        <v>0</v>
      </c>
      <c r="P293" s="79">
        <v>0</v>
      </c>
      <c r="Q293" s="79">
        <v>0</v>
      </c>
      <c r="S293" s="28"/>
      <c r="T293" s="28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s="2" customFormat="1" x14ac:dyDescent="0.3">
      <c r="A294" s="1"/>
      <c r="B294" s="1"/>
      <c r="C294" s="1"/>
      <c r="E294" s="5" t="s">
        <v>6</v>
      </c>
      <c r="F294" s="23">
        <v>23852.200000000004</v>
      </c>
      <c r="G294" s="23">
        <v>21672.3</v>
      </c>
      <c r="H294" s="23">
        <v>21236.32</v>
      </c>
      <c r="I294" s="23">
        <v>19514.910000000003</v>
      </c>
      <c r="J294" s="23">
        <v>19514.910000000003</v>
      </c>
      <c r="K294" s="23">
        <v>22130.79</v>
      </c>
      <c r="L294" s="23">
        <v>22130.79</v>
      </c>
      <c r="M294" s="23">
        <v>22130.79</v>
      </c>
      <c r="N294" s="23">
        <v>19514.91</v>
      </c>
      <c r="O294" s="23">
        <v>19514.91</v>
      </c>
      <c r="P294" s="23">
        <v>16101.66</v>
      </c>
      <c r="Q294" s="23">
        <v>15438.630000000001</v>
      </c>
      <c r="S294" s="28"/>
      <c r="T294" s="28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s="2" customFormat="1" x14ac:dyDescent="0.3">
      <c r="A295" s="1"/>
      <c r="B295" s="1"/>
      <c r="C295" s="1"/>
      <c r="E295" s="5" t="s">
        <v>5</v>
      </c>
      <c r="F295" s="23">
        <v>15291.660000000002</v>
      </c>
      <c r="G295" s="23">
        <v>15291.66</v>
      </c>
      <c r="H295" s="23">
        <v>13803.86</v>
      </c>
      <c r="I295" s="23">
        <v>11435.570000000002</v>
      </c>
      <c r="J295" s="23">
        <v>11435.570000000002</v>
      </c>
      <c r="K295" s="23">
        <v>11435.57</v>
      </c>
      <c r="L295" s="23">
        <v>11435.57</v>
      </c>
      <c r="M295" s="23">
        <v>11435.57</v>
      </c>
      <c r="N295" s="23">
        <v>11435.57</v>
      </c>
      <c r="O295" s="23">
        <v>11435.57</v>
      </c>
      <c r="P295" s="23">
        <v>10243.450000000001</v>
      </c>
      <c r="Q295" s="23">
        <v>9580.42</v>
      </c>
      <c r="S295" s="28"/>
      <c r="T295" s="28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s="2" customFormat="1" x14ac:dyDescent="0.3">
      <c r="A296" s="1"/>
      <c r="B296" s="1"/>
      <c r="C296" s="1"/>
      <c r="E296" s="5" t="s">
        <v>49</v>
      </c>
      <c r="F296" s="10">
        <f>IFERROR((1-F295/F294),0)</f>
        <v>0.35889938873563032</v>
      </c>
      <c r="G296" s="10">
        <f>IFERROR((1-G295/G294),0)</f>
        <v>0.29441452914549904</v>
      </c>
      <c r="H296" s="10">
        <f>IFERROR((1-H295/H294),0)</f>
        <v>0.34998813353726066</v>
      </c>
      <c r="I296" s="10">
        <f>IFERROR((1-I295/I294),0)</f>
        <v>0.4140085708824689</v>
      </c>
      <c r="J296" s="10">
        <f>IFERROR((1-J295/J294),0)</f>
        <v>0.4140085708824689</v>
      </c>
      <c r="K296" s="10">
        <v>0.48327330384500511</v>
      </c>
      <c r="L296" s="10">
        <f>IFERROR((1-L295/L294),0)</f>
        <v>0.48327330384500511</v>
      </c>
      <c r="M296" s="10">
        <f>IFERROR((1-M295/M294),0)</f>
        <v>0.48327330384500511</v>
      </c>
      <c r="N296" s="10">
        <f>IFERROR((1-N295/N294),0)</f>
        <v>0.4140085708824689</v>
      </c>
      <c r="O296" s="10">
        <f>IFERROR((1-O295/O294),0)</f>
        <v>0.4140085708824689</v>
      </c>
      <c r="P296" s="10">
        <f>IFERROR((1-P295/P294),0)</f>
        <v>0.36382646261317153</v>
      </c>
      <c r="Q296" s="10">
        <f>IFERROR((1-Q295/Q294),0)</f>
        <v>0.37945141505431512</v>
      </c>
      <c r="S296" s="28"/>
      <c r="T296" s="28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s="2" customFormat="1" x14ac:dyDescent="0.3">
      <c r="A297" s="1"/>
      <c r="B297" s="1"/>
      <c r="C297" s="1"/>
      <c r="E297" s="5" t="s">
        <v>3</v>
      </c>
      <c r="F297" s="8">
        <v>0</v>
      </c>
      <c r="G297" s="8">
        <v>0</v>
      </c>
      <c r="H297" s="8">
        <v>0</v>
      </c>
      <c r="I297" s="8">
        <v>0</v>
      </c>
      <c r="J297" s="8">
        <v>0</v>
      </c>
      <c r="K297" s="8">
        <v>0</v>
      </c>
      <c r="L297" s="8">
        <v>0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S297" s="28"/>
      <c r="T297" s="28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s="2" customFormat="1" x14ac:dyDescent="0.3">
      <c r="A298" s="1"/>
      <c r="B298" s="1"/>
      <c r="C298" s="1"/>
      <c r="E298" s="5" t="s">
        <v>2</v>
      </c>
      <c r="F298" s="24">
        <f>IFERROR(F294/F283,0)</f>
        <v>1590.146666666667</v>
      </c>
      <c r="G298" s="24">
        <f>IFERROR(G294/G283,0)</f>
        <v>1667.1</v>
      </c>
      <c r="H298" s="24">
        <f>IFERROR(H294/H283,0)</f>
        <v>1633.563076923077</v>
      </c>
      <c r="I298" s="24">
        <f>IFERROR(I294/I283,0)</f>
        <v>1501.1469230769233</v>
      </c>
      <c r="J298" s="24">
        <f>IFERROR(J294/J283,0)</f>
        <v>1300.9940000000001</v>
      </c>
      <c r="K298" s="24">
        <v>1475.386</v>
      </c>
      <c r="L298" s="24">
        <f>IFERROR(L294/L283,0)</f>
        <v>1475.386</v>
      </c>
      <c r="M298" s="24">
        <f>IFERROR(M294/M283,0)</f>
        <v>1475.386</v>
      </c>
      <c r="N298" s="24">
        <f>IFERROR(N294/N283,0)</f>
        <v>1501.146923076923</v>
      </c>
      <c r="O298" s="24">
        <f>IFERROR(O294/O283,0)</f>
        <v>1501.146923076923</v>
      </c>
      <c r="P298" s="24">
        <f>IFERROR(P294/P283,0)</f>
        <v>1463.7872727272727</v>
      </c>
      <c r="Q298" s="24">
        <f>IFERROR(Q294/Q283,0)</f>
        <v>1403.5118181818182</v>
      </c>
      <c r="S298" s="28"/>
      <c r="T298" s="28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s="2" customFormat="1" x14ac:dyDescent="0.3">
      <c r="A299" s="1"/>
      <c r="B299" s="1"/>
      <c r="C299" s="1"/>
      <c r="E299" s="5" t="s">
        <v>1</v>
      </c>
      <c r="F299" s="24">
        <f>IFERROR(F295/F284,0)</f>
        <v>0</v>
      </c>
      <c r="G299" s="82">
        <v>0</v>
      </c>
      <c r="H299" s="82">
        <v>0</v>
      </c>
      <c r="I299" s="82">
        <v>0</v>
      </c>
      <c r="J299" s="82">
        <v>0</v>
      </c>
      <c r="K299" s="82">
        <v>0</v>
      </c>
      <c r="L299" s="82">
        <v>0</v>
      </c>
      <c r="M299" s="82">
        <v>0</v>
      </c>
      <c r="N299" s="82">
        <v>0</v>
      </c>
      <c r="O299" s="82">
        <v>0</v>
      </c>
      <c r="P299" s="82">
        <v>0</v>
      </c>
      <c r="Q299" s="82">
        <v>0</v>
      </c>
      <c r="S299" s="28"/>
      <c r="T299" s="28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s="2" customFormat="1" ht="15" customHeight="1" x14ac:dyDescent="0.3">
      <c r="A300" s="1"/>
      <c r="B300" s="1"/>
      <c r="C300" s="1"/>
      <c r="E300" s="5" t="s">
        <v>0</v>
      </c>
      <c r="F300" s="56">
        <v>0</v>
      </c>
      <c r="G300" s="56">
        <v>0</v>
      </c>
      <c r="H300" s="56">
        <v>0</v>
      </c>
      <c r="I300" s="56">
        <v>0</v>
      </c>
      <c r="J300" s="56">
        <v>0</v>
      </c>
      <c r="K300" s="56">
        <v>0</v>
      </c>
      <c r="L300" s="56">
        <v>0</v>
      </c>
      <c r="M300" s="56">
        <v>0</v>
      </c>
      <c r="N300" s="56">
        <v>0</v>
      </c>
      <c r="O300" s="56">
        <v>0</v>
      </c>
      <c r="P300" s="56">
        <v>0</v>
      </c>
      <c r="Q300" s="56">
        <v>0</v>
      </c>
      <c r="S300" s="28"/>
      <c r="T300" s="28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s="2" customFormat="1" ht="3" customHeight="1" x14ac:dyDescent="0.3">
      <c r="F301" s="56">
        <v>0</v>
      </c>
      <c r="G301" s="56">
        <v>0</v>
      </c>
      <c r="H301" s="56">
        <v>0</v>
      </c>
      <c r="I301" s="56">
        <v>0</v>
      </c>
      <c r="J301" s="56">
        <v>0</v>
      </c>
      <c r="K301" s="56">
        <v>0</v>
      </c>
      <c r="L301" s="56">
        <v>0</v>
      </c>
      <c r="M301" s="56">
        <v>0</v>
      </c>
      <c r="N301" s="56">
        <v>0</v>
      </c>
      <c r="O301" s="56">
        <v>0</v>
      </c>
      <c r="P301" s="56">
        <v>0</v>
      </c>
      <c r="Q301" s="56">
        <v>0</v>
      </c>
      <c r="S301" s="28"/>
      <c r="T301" s="28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s="2" customFormat="1" x14ac:dyDescent="0.3">
      <c r="A302" s="70"/>
      <c r="B302" s="70"/>
      <c r="C302" s="70"/>
      <c r="E302" s="54" t="s">
        <v>33</v>
      </c>
      <c r="F302" s="54" t="s">
        <v>32</v>
      </c>
      <c r="G302" s="54" t="s">
        <v>31</v>
      </c>
      <c r="H302" s="54" t="s">
        <v>30</v>
      </c>
      <c r="I302" s="54" t="s">
        <v>29</v>
      </c>
      <c r="J302" s="54" t="s">
        <v>28</v>
      </c>
      <c r="K302" s="54" t="s">
        <v>27</v>
      </c>
      <c r="L302" s="54" t="s">
        <v>26</v>
      </c>
      <c r="M302" s="54" t="s">
        <v>25</v>
      </c>
      <c r="N302" s="54" t="s">
        <v>24</v>
      </c>
      <c r="O302" s="54" t="s">
        <v>23</v>
      </c>
      <c r="P302" s="54" t="s">
        <v>22</v>
      </c>
      <c r="Q302" s="54" t="s">
        <v>21</v>
      </c>
      <c r="S302" s="28"/>
      <c r="T302" s="28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x14ac:dyDescent="0.3">
      <c r="A303" s="70"/>
      <c r="B303" s="70"/>
      <c r="C303" s="70"/>
      <c r="E303" s="5" t="s">
        <v>20</v>
      </c>
      <c r="F303" s="8">
        <v>0</v>
      </c>
      <c r="G303" s="80">
        <v>0</v>
      </c>
      <c r="H303" s="80">
        <v>0</v>
      </c>
      <c r="I303" s="80">
        <v>0</v>
      </c>
      <c r="J303" s="80">
        <v>0</v>
      </c>
      <c r="K303" s="80">
        <v>0</v>
      </c>
      <c r="L303" s="80">
        <v>0</v>
      </c>
      <c r="M303" s="80">
        <v>0</v>
      </c>
      <c r="N303" s="80">
        <v>0</v>
      </c>
      <c r="O303" s="80">
        <v>0</v>
      </c>
      <c r="P303" s="80">
        <v>0</v>
      </c>
      <c r="Q303" s="80">
        <v>0</v>
      </c>
    </row>
    <row r="304" spans="1:107" s="2" customFormat="1" x14ac:dyDescent="0.3">
      <c r="A304" s="70"/>
      <c r="B304" s="70"/>
      <c r="C304" s="70"/>
      <c r="E304" s="5" t="s">
        <v>19</v>
      </c>
      <c r="F304" s="8">
        <f>SUM(F305:F306)</f>
        <v>604</v>
      </c>
      <c r="G304" s="8">
        <f>SUM(G305:G306)</f>
        <v>602</v>
      </c>
      <c r="H304" s="8">
        <f>SUM(H305:H306)</f>
        <v>451</v>
      </c>
      <c r="I304" s="8">
        <f>SUM(I305:I306)</f>
        <v>449</v>
      </c>
      <c r="J304" s="8">
        <f>SUM(J305:J306)</f>
        <v>449</v>
      </c>
      <c r="K304" s="8">
        <v>443</v>
      </c>
      <c r="L304" s="8">
        <f>SUM(L305:L306)</f>
        <v>437</v>
      </c>
      <c r="M304" s="8">
        <f>SUM(M305:M306)</f>
        <v>435</v>
      </c>
      <c r="N304" s="8">
        <f>SUM(N305:N306)</f>
        <v>428</v>
      </c>
      <c r="O304" s="8">
        <f>SUM(O305:O306)</f>
        <v>406</v>
      </c>
      <c r="P304" s="8">
        <f>SUM(P305:P306)</f>
        <v>392</v>
      </c>
      <c r="Q304" s="8">
        <f>SUM(Q305:Q306)</f>
        <v>391</v>
      </c>
      <c r="S304" s="28"/>
      <c r="T304" s="28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s="2" customFormat="1" x14ac:dyDescent="0.3">
      <c r="A305" s="70"/>
      <c r="B305" s="70"/>
      <c r="C305" s="70"/>
      <c r="E305" s="14" t="s">
        <v>41</v>
      </c>
      <c r="F305" s="8">
        <v>604</v>
      </c>
      <c r="G305" s="80">
        <v>602</v>
      </c>
      <c r="H305" s="80">
        <v>451</v>
      </c>
      <c r="I305" s="80">
        <v>449</v>
      </c>
      <c r="J305" s="80">
        <v>449</v>
      </c>
      <c r="K305" s="80">
        <v>443</v>
      </c>
      <c r="L305" s="80">
        <v>437</v>
      </c>
      <c r="M305" s="80">
        <v>426</v>
      </c>
      <c r="N305" s="80">
        <v>419</v>
      </c>
      <c r="O305" s="80">
        <v>397</v>
      </c>
      <c r="P305" s="80">
        <v>383</v>
      </c>
      <c r="Q305" s="80">
        <v>382</v>
      </c>
      <c r="S305" s="28"/>
      <c r="T305" s="28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s="2" customFormat="1" x14ac:dyDescent="0.3">
      <c r="A306" s="70"/>
      <c r="B306" s="70"/>
      <c r="C306" s="70"/>
      <c r="E306" s="14" t="s">
        <v>40</v>
      </c>
      <c r="F306" s="8">
        <v>0</v>
      </c>
      <c r="G306" s="80">
        <v>0</v>
      </c>
      <c r="H306" s="80">
        <v>0</v>
      </c>
      <c r="I306" s="80">
        <v>0</v>
      </c>
      <c r="J306" s="80">
        <v>0</v>
      </c>
      <c r="K306" s="80">
        <v>0</v>
      </c>
      <c r="L306" s="80">
        <v>0</v>
      </c>
      <c r="M306" s="80">
        <v>9</v>
      </c>
      <c r="N306" s="80">
        <v>9</v>
      </c>
      <c r="O306" s="80">
        <v>9</v>
      </c>
      <c r="P306" s="80">
        <v>9</v>
      </c>
      <c r="Q306" s="80">
        <v>9</v>
      </c>
      <c r="S306" s="28"/>
      <c r="T306" s="28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s="2" customFormat="1" x14ac:dyDescent="0.3">
      <c r="A307" s="70"/>
      <c r="B307" s="70"/>
      <c r="C307" s="70"/>
      <c r="E307" s="5" t="s">
        <v>39</v>
      </c>
      <c r="F307" s="8">
        <f>SUM(F310:F314)</f>
        <v>7</v>
      </c>
      <c r="G307" s="8">
        <f>SUM(G310:G314)</f>
        <v>2</v>
      </c>
      <c r="H307" s="8">
        <f>SUM(H310:H314)</f>
        <v>35</v>
      </c>
      <c r="I307" s="8">
        <f>SUM(I310:I314)</f>
        <v>2</v>
      </c>
      <c r="J307" s="8">
        <f>SUM(J310:J314)</f>
        <v>0</v>
      </c>
      <c r="K307" s="8">
        <v>6</v>
      </c>
      <c r="L307" s="8">
        <f>SUM(L310:L314)</f>
        <v>6</v>
      </c>
      <c r="M307" s="8">
        <f>SUM(M310:M314)</f>
        <v>9</v>
      </c>
      <c r="N307" s="8">
        <f>SUM(N310:N314)</f>
        <v>7</v>
      </c>
      <c r="O307" s="8">
        <f>SUM(O310:O314)</f>
        <v>22</v>
      </c>
      <c r="P307" s="8">
        <f>SUM(P310:P314)</f>
        <v>16</v>
      </c>
      <c r="Q307" s="8">
        <f>SUM(Q310:Q314)</f>
        <v>4</v>
      </c>
      <c r="S307" s="28"/>
      <c r="T307" s="28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s="2" customFormat="1" x14ac:dyDescent="0.3">
      <c r="A308" s="70"/>
      <c r="B308" s="70"/>
      <c r="C308" s="70"/>
      <c r="E308" s="5" t="s">
        <v>15</v>
      </c>
      <c r="F308" s="8">
        <v>0</v>
      </c>
      <c r="G308" s="81">
        <v>0</v>
      </c>
      <c r="H308" s="81">
        <v>0</v>
      </c>
      <c r="I308" s="81">
        <v>0</v>
      </c>
      <c r="J308" s="81">
        <v>0</v>
      </c>
      <c r="K308" s="81">
        <v>0</v>
      </c>
      <c r="L308" s="81">
        <v>0</v>
      </c>
      <c r="M308" s="81">
        <v>0</v>
      </c>
      <c r="N308" s="81">
        <v>0</v>
      </c>
      <c r="O308" s="81">
        <v>0</v>
      </c>
      <c r="P308" s="81">
        <v>0</v>
      </c>
      <c r="Q308" s="81">
        <v>0</v>
      </c>
      <c r="S308" s="28"/>
      <c r="T308" s="28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s="2" customFormat="1" x14ac:dyDescent="0.3">
      <c r="A309" s="70"/>
      <c r="B309" s="70"/>
      <c r="C309" s="70"/>
      <c r="E309" s="5" t="s">
        <v>14</v>
      </c>
      <c r="F309" s="10">
        <f>IFERROR(F307/'Relatório Indicadores 24'!Q257,0)</f>
        <v>1.1456628477905073E-2</v>
      </c>
      <c r="G309" s="10">
        <f>IFERROR(G307/F304,0)</f>
        <v>3.3112582781456954E-3</v>
      </c>
      <c r="H309" s="10">
        <f>IFERROR(H307/G304,0)</f>
        <v>5.8139534883720929E-2</v>
      </c>
      <c r="I309" s="10">
        <f>IFERROR(I307/H304,0)</f>
        <v>4.434589800443459E-3</v>
      </c>
      <c r="J309" s="10">
        <f>IFERROR(J307/I304,0)</f>
        <v>0</v>
      </c>
      <c r="K309" s="10">
        <v>1.3363028953229399E-2</v>
      </c>
      <c r="L309" s="10">
        <f>IFERROR(L307/K304,0)</f>
        <v>1.3544018058690745E-2</v>
      </c>
      <c r="M309" s="10">
        <f>IFERROR(M307/L304,0)</f>
        <v>2.0594965675057208E-2</v>
      </c>
      <c r="N309" s="10">
        <f>IFERROR(N307/M304,0)</f>
        <v>1.6091954022988506E-2</v>
      </c>
      <c r="O309" s="10">
        <f>IFERROR(O307/N304,0)</f>
        <v>5.1401869158878503E-2</v>
      </c>
      <c r="P309" s="10">
        <f>IFERROR(P307/O304,0)</f>
        <v>3.9408866995073892E-2</v>
      </c>
      <c r="Q309" s="10">
        <f>IFERROR(Q307/P304,0)</f>
        <v>1.020408163265306E-2</v>
      </c>
      <c r="S309" s="28"/>
      <c r="T309" s="28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s="2" customFormat="1" x14ac:dyDescent="0.3">
      <c r="A310" s="70"/>
      <c r="B310" s="70"/>
      <c r="C310" s="70"/>
      <c r="E310" s="5" t="s">
        <v>13</v>
      </c>
      <c r="F310" s="8">
        <v>0</v>
      </c>
      <c r="G310" s="80">
        <v>0</v>
      </c>
      <c r="H310" s="80">
        <v>0</v>
      </c>
      <c r="I310" s="80">
        <v>0</v>
      </c>
      <c r="J310" s="80">
        <v>0</v>
      </c>
      <c r="K310" s="80">
        <v>0</v>
      </c>
      <c r="L310" s="80">
        <v>0</v>
      </c>
      <c r="M310" s="80">
        <v>0</v>
      </c>
      <c r="N310" s="80">
        <v>0</v>
      </c>
      <c r="O310" s="80">
        <v>0</v>
      </c>
      <c r="P310" s="80">
        <v>1</v>
      </c>
      <c r="Q310" s="80">
        <v>0</v>
      </c>
      <c r="S310" s="28"/>
      <c r="T310" s="28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s="2" customFormat="1" x14ac:dyDescent="0.3">
      <c r="A311" s="70"/>
      <c r="B311" s="70"/>
      <c r="C311" s="70"/>
      <c r="E311" s="5" t="s">
        <v>12</v>
      </c>
      <c r="F311" s="8">
        <v>7</v>
      </c>
      <c r="G311" s="80">
        <v>2</v>
      </c>
      <c r="H311" s="80">
        <v>35</v>
      </c>
      <c r="I311" s="80">
        <v>2</v>
      </c>
      <c r="J311" s="80">
        <v>0</v>
      </c>
      <c r="K311" s="80">
        <v>6</v>
      </c>
      <c r="L311" s="80">
        <v>6</v>
      </c>
      <c r="M311" s="80">
        <v>7</v>
      </c>
      <c r="N311" s="80">
        <v>7</v>
      </c>
      <c r="O311" s="80">
        <v>22</v>
      </c>
      <c r="P311" s="80">
        <v>3</v>
      </c>
      <c r="Q311" s="80">
        <v>4</v>
      </c>
      <c r="S311" s="28"/>
      <c r="T311" s="28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s="2" customFormat="1" x14ac:dyDescent="0.3">
      <c r="A312" s="70"/>
      <c r="B312" s="70"/>
      <c r="C312" s="70"/>
      <c r="E312" s="5" t="s">
        <v>11</v>
      </c>
      <c r="F312" s="8">
        <v>0</v>
      </c>
      <c r="G312" s="80">
        <v>0</v>
      </c>
      <c r="H312" s="80">
        <v>0</v>
      </c>
      <c r="I312" s="80">
        <v>0</v>
      </c>
      <c r="J312" s="80">
        <v>0</v>
      </c>
      <c r="K312" s="80">
        <v>0</v>
      </c>
      <c r="L312" s="80">
        <v>0</v>
      </c>
      <c r="M312" s="80">
        <v>2</v>
      </c>
      <c r="N312" s="80">
        <v>0</v>
      </c>
      <c r="O312" s="80">
        <v>0</v>
      </c>
      <c r="P312" s="80">
        <v>0</v>
      </c>
      <c r="Q312" s="80">
        <v>0</v>
      </c>
      <c r="S312" s="28"/>
      <c r="T312" s="28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s="2" customFormat="1" x14ac:dyDescent="0.3">
      <c r="A313" s="70"/>
      <c r="B313" s="70"/>
      <c r="C313" s="70"/>
      <c r="E313" s="5" t="s">
        <v>50</v>
      </c>
      <c r="F313" s="8">
        <v>0</v>
      </c>
      <c r="G313" s="79">
        <v>0</v>
      </c>
      <c r="H313" s="79">
        <v>0</v>
      </c>
      <c r="I313" s="79">
        <v>0</v>
      </c>
      <c r="J313" s="79">
        <v>0</v>
      </c>
      <c r="K313" s="79">
        <v>0</v>
      </c>
      <c r="L313" s="79">
        <v>0</v>
      </c>
      <c r="M313" s="79">
        <v>0</v>
      </c>
      <c r="N313" s="79">
        <v>0</v>
      </c>
      <c r="O313" s="79">
        <v>0</v>
      </c>
      <c r="P313" s="79">
        <v>0</v>
      </c>
      <c r="Q313" s="79">
        <v>0</v>
      </c>
      <c r="S313" s="28"/>
      <c r="T313" s="28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s="2" customFormat="1" x14ac:dyDescent="0.3">
      <c r="A314" s="70"/>
      <c r="B314" s="70"/>
      <c r="C314" s="70"/>
      <c r="E314" s="5" t="s">
        <v>46</v>
      </c>
      <c r="F314" s="8">
        <v>0</v>
      </c>
      <c r="G314" s="79">
        <v>0</v>
      </c>
      <c r="H314" s="79">
        <v>0</v>
      </c>
      <c r="I314" s="79">
        <v>0</v>
      </c>
      <c r="J314" s="79">
        <v>0</v>
      </c>
      <c r="K314" s="79">
        <v>0</v>
      </c>
      <c r="L314" s="79">
        <v>0</v>
      </c>
      <c r="M314" s="79">
        <v>0</v>
      </c>
      <c r="N314" s="79">
        <v>0</v>
      </c>
      <c r="O314" s="79">
        <v>0</v>
      </c>
      <c r="P314" s="79">
        <v>12</v>
      </c>
      <c r="Q314" s="79">
        <v>0</v>
      </c>
      <c r="S314" s="28"/>
      <c r="T314" s="28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s="2" customFormat="1" x14ac:dyDescent="0.3">
      <c r="A315" s="70"/>
      <c r="B315" s="70"/>
      <c r="C315" s="70"/>
      <c r="E315" s="5" t="s">
        <v>6</v>
      </c>
      <c r="F315" s="23">
        <v>0</v>
      </c>
      <c r="G315" s="23">
        <v>0</v>
      </c>
      <c r="H315" s="23">
        <v>0</v>
      </c>
      <c r="I315" s="23">
        <v>0</v>
      </c>
      <c r="J315" s="23">
        <v>0</v>
      </c>
      <c r="K315" s="23">
        <v>0</v>
      </c>
      <c r="L315" s="23">
        <v>0</v>
      </c>
      <c r="M315" s="23">
        <v>49.9</v>
      </c>
      <c r="N315" s="23">
        <v>149.69999999999999</v>
      </c>
      <c r="O315" s="23">
        <v>149.69999999999999</v>
      </c>
      <c r="P315" s="23">
        <v>249.5</v>
      </c>
      <c r="Q315" s="23">
        <v>249.5</v>
      </c>
      <c r="S315" s="28"/>
      <c r="T315" s="28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s="2" customFormat="1" x14ac:dyDescent="0.3">
      <c r="A316" s="70"/>
      <c r="B316" s="70"/>
      <c r="C316" s="70"/>
      <c r="E316" s="5" t="s">
        <v>5</v>
      </c>
      <c r="F316" s="23">
        <v>0</v>
      </c>
      <c r="G316" s="23">
        <v>0</v>
      </c>
      <c r="H316" s="23">
        <v>0</v>
      </c>
      <c r="I316" s="23">
        <v>0</v>
      </c>
      <c r="J316" s="23">
        <v>0</v>
      </c>
      <c r="K316" s="23">
        <v>0</v>
      </c>
      <c r="L316" s="23">
        <v>0</v>
      </c>
      <c r="M316" s="23">
        <v>49.9</v>
      </c>
      <c r="N316" s="23">
        <v>99.8</v>
      </c>
      <c r="O316" s="23">
        <v>149.69999999999999</v>
      </c>
      <c r="P316" s="23">
        <v>249.5</v>
      </c>
      <c r="Q316" s="23">
        <v>249.5</v>
      </c>
      <c r="S316" s="28"/>
      <c r="T316" s="28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s="2" customFormat="1" x14ac:dyDescent="0.3">
      <c r="A317" s="70"/>
      <c r="B317" s="70"/>
      <c r="C317" s="70"/>
      <c r="E317" s="5" t="s">
        <v>49</v>
      </c>
      <c r="F317" s="10">
        <f>IFERROR((1-F316/F315),0)</f>
        <v>0</v>
      </c>
      <c r="G317" s="10">
        <f>IFERROR((1-G316/G315),0)</f>
        <v>0</v>
      </c>
      <c r="H317" s="10">
        <f>IFERROR((1-H316/H315),0)</f>
        <v>0</v>
      </c>
      <c r="I317" s="10">
        <f>IFERROR((1-I316/I315),0)</f>
        <v>0</v>
      </c>
      <c r="J317" s="10">
        <f>IFERROR((1-J316/J315),0)</f>
        <v>0</v>
      </c>
      <c r="K317" s="10">
        <v>0</v>
      </c>
      <c r="L317" s="10">
        <f>IFERROR((1-L316/L315),0)</f>
        <v>0</v>
      </c>
      <c r="M317" s="10">
        <f>IFERROR((1-M316/M315),0)</f>
        <v>0</v>
      </c>
      <c r="N317" s="10">
        <f>IFERROR((1-N316/N315),0)</f>
        <v>0.33333333333333326</v>
      </c>
      <c r="O317" s="10">
        <f>IFERROR((1-O316/O315),0)</f>
        <v>0</v>
      </c>
      <c r="P317" s="10">
        <f>IFERROR((1-P316/P315),0)</f>
        <v>0</v>
      </c>
      <c r="Q317" s="10">
        <f>IFERROR((1-Q316/Q315),0)</f>
        <v>0</v>
      </c>
      <c r="S317" s="28"/>
      <c r="T317" s="28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x14ac:dyDescent="0.3">
      <c r="A318" s="70"/>
      <c r="B318" s="70"/>
      <c r="C318" s="70"/>
      <c r="E318" s="5" t="s">
        <v>3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10</v>
      </c>
      <c r="N318" s="8">
        <v>2</v>
      </c>
      <c r="O318" s="8">
        <v>1</v>
      </c>
      <c r="P318" s="8">
        <v>2</v>
      </c>
      <c r="Q318" s="8">
        <v>3</v>
      </c>
    </row>
    <row r="319" spans="1:107" x14ac:dyDescent="0.3">
      <c r="A319" s="70"/>
      <c r="B319" s="70"/>
      <c r="C319" s="70"/>
      <c r="E319" s="5" t="s">
        <v>2</v>
      </c>
      <c r="F319" s="24">
        <f>IFERROR(F315/F304,0)</f>
        <v>0</v>
      </c>
      <c r="G319" s="24">
        <f>IFERROR(G315/G304,0)</f>
        <v>0</v>
      </c>
      <c r="H319" s="24">
        <f>IFERROR(H315/H304,0)</f>
        <v>0</v>
      </c>
      <c r="I319" s="24">
        <f>IFERROR(I315/I304,0)</f>
        <v>0</v>
      </c>
      <c r="J319" s="24">
        <f>IFERROR(J315/J304,0)</f>
        <v>0</v>
      </c>
      <c r="K319" s="24">
        <v>0</v>
      </c>
      <c r="L319" s="24">
        <f>IFERROR(L315/L304,0)</f>
        <v>0</v>
      </c>
      <c r="M319" s="24">
        <f>IFERROR(M315/M304,0)</f>
        <v>0.11471264367816092</v>
      </c>
      <c r="N319" s="24">
        <f>IFERROR(N315/N304,0)</f>
        <v>0.34976635514018689</v>
      </c>
      <c r="O319" s="24">
        <f>IFERROR(O315/O304,0)</f>
        <v>0.3687192118226601</v>
      </c>
      <c r="P319" s="24">
        <f>IFERROR(P315/P304,0)</f>
        <v>0.63647959183673475</v>
      </c>
      <c r="Q319" s="24">
        <f>IFERROR(Q315/Q304,0)</f>
        <v>0.63810741687979544</v>
      </c>
    </row>
    <row r="320" spans="1:107" x14ac:dyDescent="0.3">
      <c r="A320" s="70"/>
      <c r="B320" s="70"/>
      <c r="C320" s="70"/>
      <c r="E320" s="5" t="s">
        <v>1</v>
      </c>
      <c r="F320" s="56">
        <v>0</v>
      </c>
      <c r="G320" s="56">
        <v>0</v>
      </c>
      <c r="H320" s="56">
        <v>0</v>
      </c>
      <c r="I320" s="56">
        <v>0</v>
      </c>
      <c r="J320" s="56">
        <v>0</v>
      </c>
      <c r="K320" s="56">
        <v>0</v>
      </c>
      <c r="L320" s="56">
        <v>0</v>
      </c>
      <c r="M320" s="56">
        <v>0</v>
      </c>
      <c r="N320" s="56">
        <v>0</v>
      </c>
      <c r="O320" s="56">
        <v>0</v>
      </c>
      <c r="P320" s="56">
        <v>0</v>
      </c>
      <c r="Q320" s="56">
        <v>0</v>
      </c>
    </row>
    <row r="321" spans="1:107" x14ac:dyDescent="0.3">
      <c r="A321" s="70"/>
      <c r="B321" s="70"/>
      <c r="C321" s="70"/>
      <c r="E321" s="5" t="s">
        <v>0</v>
      </c>
      <c r="F321" s="56">
        <v>0</v>
      </c>
      <c r="G321" s="56">
        <v>0</v>
      </c>
      <c r="H321" s="56">
        <v>0</v>
      </c>
      <c r="I321" s="56">
        <v>0</v>
      </c>
      <c r="J321" s="56">
        <v>0</v>
      </c>
      <c r="K321" s="56">
        <v>0</v>
      </c>
      <c r="L321" s="56">
        <v>0</v>
      </c>
      <c r="M321" s="56">
        <v>0</v>
      </c>
      <c r="N321" s="56">
        <v>0</v>
      </c>
      <c r="O321" s="56">
        <v>0</v>
      </c>
      <c r="P321" s="56">
        <v>0</v>
      </c>
      <c r="Q321" s="56">
        <v>0</v>
      </c>
    </row>
    <row r="322" spans="1:107" s="2" customFormat="1" ht="4.95" customHeight="1" x14ac:dyDescent="0.3">
      <c r="F322" s="55"/>
      <c r="G322" s="55"/>
      <c r="H322" s="55"/>
      <c r="I322" s="61"/>
      <c r="J322" s="55"/>
      <c r="K322" s="60"/>
      <c r="L322" s="29"/>
      <c r="M322" s="29"/>
      <c r="N322" s="29"/>
      <c r="O322" s="29"/>
      <c r="P322" s="29"/>
      <c r="Q322" s="29"/>
      <c r="S322" s="28"/>
      <c r="T322" s="28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s="2" customFormat="1" x14ac:dyDescent="0.3">
      <c r="A323" s="1"/>
      <c r="B323" s="1"/>
      <c r="C323" s="1"/>
      <c r="E323" s="54" t="s">
        <v>33</v>
      </c>
      <c r="F323" s="54" t="s">
        <v>32</v>
      </c>
      <c r="G323" s="54" t="s">
        <v>31</v>
      </c>
      <c r="H323" s="54" t="s">
        <v>30</v>
      </c>
      <c r="I323" s="54" t="s">
        <v>29</v>
      </c>
      <c r="J323" s="54" t="s">
        <v>28</v>
      </c>
      <c r="K323" s="54" t="s">
        <v>27</v>
      </c>
      <c r="L323" s="54" t="s">
        <v>26</v>
      </c>
      <c r="M323" s="54" t="s">
        <v>25</v>
      </c>
      <c r="N323" s="54" t="s">
        <v>24</v>
      </c>
      <c r="O323" s="54" t="s">
        <v>23</v>
      </c>
      <c r="P323" s="54" t="s">
        <v>22</v>
      </c>
      <c r="Q323" s="54" t="s">
        <v>21</v>
      </c>
      <c r="S323" s="28"/>
      <c r="T323" s="28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x14ac:dyDescent="0.3">
      <c r="E324" s="5" t="s">
        <v>20</v>
      </c>
      <c r="F324" s="8">
        <v>0</v>
      </c>
      <c r="G324" s="80">
        <v>0</v>
      </c>
      <c r="H324" s="80">
        <v>0</v>
      </c>
      <c r="I324" s="80">
        <v>0</v>
      </c>
      <c r="J324" s="80">
        <v>0</v>
      </c>
      <c r="K324" s="80">
        <v>0</v>
      </c>
      <c r="L324" s="80">
        <v>0</v>
      </c>
      <c r="M324" s="80">
        <v>0</v>
      </c>
      <c r="N324" s="80">
        <v>0</v>
      </c>
      <c r="O324" s="80">
        <v>0</v>
      </c>
      <c r="P324" s="80">
        <v>0</v>
      </c>
      <c r="Q324" s="80">
        <v>0</v>
      </c>
    </row>
    <row r="325" spans="1:107" s="2" customFormat="1" x14ac:dyDescent="0.3">
      <c r="A325" s="1"/>
      <c r="B325" s="1"/>
      <c r="C325" s="1"/>
      <c r="E325" s="5" t="s">
        <v>19</v>
      </c>
      <c r="F325" s="8">
        <f>SUM(F326:F327)</f>
        <v>1948</v>
      </c>
      <c r="G325" s="8">
        <f>SUM(G326:G327)</f>
        <v>2055</v>
      </c>
      <c r="H325" s="8">
        <f>SUM(H326:H327)</f>
        <v>2110</v>
      </c>
      <c r="I325" s="8">
        <f>SUM(I326:I327)</f>
        <v>2151</v>
      </c>
      <c r="J325" s="8">
        <f>SUM(J326:J327)</f>
        <v>2138</v>
      </c>
      <c r="K325" s="8">
        <v>2042</v>
      </c>
      <c r="L325" s="8">
        <f>SUM(L326:L327)</f>
        <v>1964</v>
      </c>
      <c r="M325" s="8">
        <f>SUM(M326:M327)</f>
        <v>1870</v>
      </c>
      <c r="N325" s="8">
        <f>SUM(N326:N327)</f>
        <v>1765</v>
      </c>
      <c r="O325" s="8">
        <f>SUM(O326:O327)</f>
        <v>1459</v>
      </c>
      <c r="P325" s="8">
        <f>SUM(P326:P327)</f>
        <v>0</v>
      </c>
      <c r="Q325" s="8">
        <f>SUM(Q326:Q327)</f>
        <v>0</v>
      </c>
      <c r="S325" s="28"/>
      <c r="T325" s="28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s="2" customFormat="1" x14ac:dyDescent="0.3">
      <c r="A326" s="1"/>
      <c r="B326" s="1"/>
      <c r="C326" s="1"/>
      <c r="E326" s="14" t="s">
        <v>41</v>
      </c>
      <c r="F326" s="8">
        <v>0</v>
      </c>
      <c r="G326" s="80">
        <v>0</v>
      </c>
      <c r="H326" s="80">
        <v>0</v>
      </c>
      <c r="I326" s="80">
        <v>0</v>
      </c>
      <c r="J326" s="80">
        <v>0</v>
      </c>
      <c r="K326" s="80">
        <v>0</v>
      </c>
      <c r="L326" s="80">
        <v>0</v>
      </c>
      <c r="M326" s="80">
        <v>0</v>
      </c>
      <c r="N326" s="80">
        <v>0</v>
      </c>
      <c r="O326" s="80">
        <v>0</v>
      </c>
      <c r="P326" s="80">
        <v>0</v>
      </c>
      <c r="Q326" s="80">
        <v>0</v>
      </c>
      <c r="S326" s="28"/>
      <c r="T326" s="28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s="2" customFormat="1" x14ac:dyDescent="0.3">
      <c r="A327" s="1"/>
      <c r="B327" s="1"/>
      <c r="C327" s="1"/>
      <c r="E327" s="14" t="s">
        <v>40</v>
      </c>
      <c r="F327" s="8">
        <v>1948</v>
      </c>
      <c r="G327" s="80">
        <v>2055</v>
      </c>
      <c r="H327" s="80">
        <v>2110</v>
      </c>
      <c r="I327" s="80">
        <v>2151</v>
      </c>
      <c r="J327" s="80">
        <v>2138</v>
      </c>
      <c r="K327" s="80">
        <v>2042</v>
      </c>
      <c r="L327" s="80">
        <v>1964</v>
      </c>
      <c r="M327" s="80">
        <v>1870</v>
      </c>
      <c r="N327" s="80">
        <v>1765</v>
      </c>
      <c r="O327" s="80">
        <v>1459</v>
      </c>
      <c r="P327" s="80">
        <v>0</v>
      </c>
      <c r="Q327" s="80">
        <v>0</v>
      </c>
      <c r="S327" s="28"/>
      <c r="T327" s="28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s="2" customFormat="1" x14ac:dyDescent="0.3">
      <c r="A328" s="1"/>
      <c r="B328" s="1"/>
      <c r="C328" s="1"/>
      <c r="E328" s="5" t="s">
        <v>39</v>
      </c>
      <c r="F328" s="8">
        <f>SUM(F331:F335)</f>
        <v>93</v>
      </c>
      <c r="G328" s="8">
        <f>SUM(G331:G335)</f>
        <v>71</v>
      </c>
      <c r="H328" s="8">
        <f>SUM(H331:H335)</f>
        <v>103</v>
      </c>
      <c r="I328" s="8">
        <f>SUM(I331:I335)</f>
        <v>78</v>
      </c>
      <c r="J328" s="8">
        <f>SUM(J331:J335)</f>
        <v>94</v>
      </c>
      <c r="K328" s="8">
        <v>94</v>
      </c>
      <c r="L328" s="8">
        <f>SUM(L331:L335)</f>
        <v>74</v>
      </c>
      <c r="M328" s="8">
        <f>SUM(M331:M335)</f>
        <v>89</v>
      </c>
      <c r="N328" s="8">
        <f>SUM(N331:N335)</f>
        <v>98</v>
      </c>
      <c r="O328" s="8">
        <f>SUM(O331:O335)</f>
        <v>304</v>
      </c>
      <c r="P328" s="8">
        <f>SUM(P331:P335)</f>
        <v>1459</v>
      </c>
      <c r="Q328" s="8">
        <f>SUM(Q331:Q335)</f>
        <v>0</v>
      </c>
      <c r="S328" s="28"/>
      <c r="T328" s="28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s="2" customFormat="1" x14ac:dyDescent="0.3">
      <c r="A329" s="1"/>
      <c r="B329" s="1"/>
      <c r="C329" s="1"/>
      <c r="E329" s="5" t="s">
        <v>15</v>
      </c>
      <c r="F329" s="8">
        <v>9</v>
      </c>
      <c r="G329" s="81">
        <v>1</v>
      </c>
      <c r="H329" s="81">
        <v>8</v>
      </c>
      <c r="I329" s="81">
        <v>6</v>
      </c>
      <c r="J329" s="81">
        <v>4</v>
      </c>
      <c r="K329" s="81">
        <v>5</v>
      </c>
      <c r="L329" s="81">
        <v>9</v>
      </c>
      <c r="M329" s="81">
        <v>4</v>
      </c>
      <c r="N329" s="81">
        <v>5</v>
      </c>
      <c r="O329" s="81">
        <v>6</v>
      </c>
      <c r="P329" s="81">
        <v>0</v>
      </c>
      <c r="Q329" s="81">
        <v>0</v>
      </c>
      <c r="S329" s="28"/>
      <c r="T329" s="28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s="2" customFormat="1" x14ac:dyDescent="0.3">
      <c r="A330" s="1"/>
      <c r="B330" s="1"/>
      <c r="C330" s="1"/>
      <c r="E330" s="5" t="s">
        <v>14</v>
      </c>
      <c r="F330" s="10">
        <f>IFERROR(F328/'Relatório Indicadores 24'!Q151,0)</f>
        <v>4.8665620094191522E-2</v>
      </c>
      <c r="G330" s="10">
        <f>IFERROR(G328/F325,0)</f>
        <v>3.6447638603696098E-2</v>
      </c>
      <c r="H330" s="10">
        <f>IFERROR(H328/G325,0)</f>
        <v>5.0121654501216542E-2</v>
      </c>
      <c r="I330" s="10">
        <f>IFERROR(I328/H325,0)</f>
        <v>3.6966824644549763E-2</v>
      </c>
      <c r="J330" s="10">
        <f>IFERROR(J328/I325,0)</f>
        <v>4.3700604370060438E-2</v>
      </c>
      <c r="K330" s="10">
        <v>4.3966323666978488E-2</v>
      </c>
      <c r="L330" s="10">
        <f>IFERROR(L328/K325,0)</f>
        <v>3.6238981390793339E-2</v>
      </c>
      <c r="M330" s="10">
        <f>IFERROR(M328/L325,0)</f>
        <v>4.5315682281059061E-2</v>
      </c>
      <c r="N330" s="10">
        <f>IFERROR(N328/M325,0)</f>
        <v>5.2406417112299465E-2</v>
      </c>
      <c r="O330" s="10">
        <f>IFERROR(O328/N325,0)</f>
        <v>0.17223796033994335</v>
      </c>
      <c r="P330" s="10">
        <f>IFERROR(P328/O325,0)</f>
        <v>1</v>
      </c>
      <c r="Q330" s="10">
        <f>IFERROR(Q328/P325,0)</f>
        <v>0</v>
      </c>
      <c r="S330" s="28"/>
      <c r="T330" s="28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s="2" customFormat="1" x14ac:dyDescent="0.3">
      <c r="A331" s="1"/>
      <c r="B331" s="1"/>
      <c r="C331" s="1"/>
      <c r="E331" s="5" t="s">
        <v>13</v>
      </c>
      <c r="F331" s="8">
        <v>61</v>
      </c>
      <c r="G331" s="80">
        <v>42</v>
      </c>
      <c r="H331" s="80">
        <v>62</v>
      </c>
      <c r="I331" s="80">
        <v>47</v>
      </c>
      <c r="J331" s="80">
        <v>52</v>
      </c>
      <c r="K331" s="80">
        <v>55</v>
      </c>
      <c r="L331" s="80">
        <v>29</v>
      </c>
      <c r="M331" s="80">
        <v>47</v>
      </c>
      <c r="N331" s="80">
        <v>55</v>
      </c>
      <c r="O331" s="80">
        <v>41</v>
      </c>
      <c r="P331" s="80">
        <v>0</v>
      </c>
      <c r="Q331" s="80">
        <v>0</v>
      </c>
      <c r="S331" s="28"/>
      <c r="T331" s="28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s="2" customFormat="1" x14ac:dyDescent="0.3">
      <c r="A332" s="1"/>
      <c r="B332" s="1"/>
      <c r="C332" s="1"/>
      <c r="E332" s="5" t="s">
        <v>12</v>
      </c>
      <c r="F332" s="8">
        <v>31</v>
      </c>
      <c r="G332" s="80">
        <v>28</v>
      </c>
      <c r="H332" s="80">
        <v>37</v>
      </c>
      <c r="I332" s="80">
        <v>25</v>
      </c>
      <c r="J332" s="80">
        <v>41</v>
      </c>
      <c r="K332" s="80">
        <v>34</v>
      </c>
      <c r="L332" s="80">
        <v>45</v>
      </c>
      <c r="M332" s="80">
        <v>40</v>
      </c>
      <c r="N332" s="80">
        <v>41</v>
      </c>
      <c r="O332" s="80">
        <v>35</v>
      </c>
      <c r="P332" s="80">
        <v>4</v>
      </c>
      <c r="Q332" s="80">
        <v>0</v>
      </c>
      <c r="S332" s="28"/>
      <c r="T332" s="28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s="2" customFormat="1" x14ac:dyDescent="0.3">
      <c r="A333" s="1"/>
      <c r="B333" s="1"/>
      <c r="C333" s="1"/>
      <c r="E333" s="5" t="s">
        <v>11</v>
      </c>
      <c r="F333" s="8">
        <v>0</v>
      </c>
      <c r="G333" s="80">
        <v>0</v>
      </c>
      <c r="H333" s="80">
        <v>0</v>
      </c>
      <c r="I333" s="80">
        <v>1</v>
      </c>
      <c r="J333" s="80">
        <v>0</v>
      </c>
      <c r="K333" s="80">
        <v>0</v>
      </c>
      <c r="L333" s="80">
        <v>0</v>
      </c>
      <c r="M333" s="80">
        <v>1</v>
      </c>
      <c r="N333" s="80">
        <v>2</v>
      </c>
      <c r="O333" s="80">
        <v>4</v>
      </c>
      <c r="P333" s="80">
        <v>2</v>
      </c>
      <c r="Q333" s="80">
        <v>0</v>
      </c>
      <c r="S333" s="28"/>
      <c r="T333" s="28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s="2" customFormat="1" x14ac:dyDescent="0.3">
      <c r="A334" s="1"/>
      <c r="B334" s="1"/>
      <c r="C334" s="1"/>
      <c r="E334" s="5" t="s">
        <v>50</v>
      </c>
      <c r="F334" s="42">
        <v>0</v>
      </c>
      <c r="G334" s="79">
        <v>0</v>
      </c>
      <c r="H334" s="79">
        <v>0</v>
      </c>
      <c r="I334" s="79">
        <v>0</v>
      </c>
      <c r="J334" s="79">
        <v>0</v>
      </c>
      <c r="K334" s="79">
        <v>0</v>
      </c>
      <c r="L334" s="79">
        <v>0</v>
      </c>
      <c r="M334" s="79">
        <v>0</v>
      </c>
      <c r="N334" s="79">
        <v>0</v>
      </c>
      <c r="O334" s="79">
        <v>0</v>
      </c>
      <c r="P334" s="79">
        <v>0</v>
      </c>
      <c r="Q334" s="79">
        <v>0</v>
      </c>
      <c r="S334" s="28"/>
      <c r="T334" s="28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s="2" customFormat="1" x14ac:dyDescent="0.3">
      <c r="A335" s="1"/>
      <c r="B335" s="1"/>
      <c r="C335" s="1"/>
      <c r="E335" s="5" t="s">
        <v>46</v>
      </c>
      <c r="F335" s="42">
        <v>1</v>
      </c>
      <c r="G335" s="79">
        <v>1</v>
      </c>
      <c r="H335" s="79">
        <v>4</v>
      </c>
      <c r="I335" s="79">
        <v>5</v>
      </c>
      <c r="J335" s="79">
        <v>1</v>
      </c>
      <c r="K335" s="79">
        <v>5</v>
      </c>
      <c r="L335" s="79">
        <v>0</v>
      </c>
      <c r="M335" s="79">
        <v>1</v>
      </c>
      <c r="N335" s="79">
        <v>0</v>
      </c>
      <c r="O335" s="79">
        <v>224</v>
      </c>
      <c r="P335" s="79">
        <v>1453</v>
      </c>
      <c r="Q335" s="79">
        <v>0</v>
      </c>
      <c r="S335" s="28"/>
      <c r="T335" s="28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s="2" customFormat="1" x14ac:dyDescent="0.3">
      <c r="A336" s="1"/>
      <c r="B336" s="1"/>
      <c r="C336" s="1"/>
      <c r="E336" s="5" t="s">
        <v>6</v>
      </c>
      <c r="F336" s="23">
        <v>691831.73000000056</v>
      </c>
      <c r="G336" s="23">
        <v>730829.86999999941</v>
      </c>
      <c r="H336" s="23">
        <v>758057.98999999918</v>
      </c>
      <c r="I336" s="23">
        <v>766416.54999999946</v>
      </c>
      <c r="J336" s="23">
        <v>757301.69999999832</v>
      </c>
      <c r="K336" s="23">
        <v>721951.98999999941</v>
      </c>
      <c r="L336" s="23">
        <v>767883.4199999983</v>
      </c>
      <c r="M336" s="23">
        <v>746715.62999999919</v>
      </c>
      <c r="N336" s="23">
        <v>710039.30999999819</v>
      </c>
      <c r="O336" s="23">
        <v>676699.9599999995</v>
      </c>
      <c r="P336" s="23">
        <v>0</v>
      </c>
      <c r="Q336" s="23">
        <v>0</v>
      </c>
      <c r="S336" s="28"/>
      <c r="T336" s="28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s="2" customFormat="1" x14ac:dyDescent="0.3">
      <c r="A337" s="1"/>
      <c r="B337" s="1"/>
      <c r="C337" s="1"/>
      <c r="E337" s="5" t="s">
        <v>5</v>
      </c>
      <c r="F337" s="23">
        <v>595668.81000000041</v>
      </c>
      <c r="G337" s="23">
        <v>623593.25999999931</v>
      </c>
      <c r="H337" s="23">
        <v>651304.1599999991</v>
      </c>
      <c r="I337" s="23">
        <v>654642.05999999936</v>
      </c>
      <c r="J337" s="23">
        <v>652205.15999999817</v>
      </c>
      <c r="K337" s="23">
        <v>611664.44999999937</v>
      </c>
      <c r="L337" s="23">
        <v>676188.39999999839</v>
      </c>
      <c r="M337" s="23">
        <v>641438.34999999928</v>
      </c>
      <c r="N337" s="23">
        <v>606655.40999999829</v>
      </c>
      <c r="O337" s="23">
        <v>588695.59999999951</v>
      </c>
      <c r="P337" s="23">
        <v>0</v>
      </c>
      <c r="Q337" s="23">
        <v>0</v>
      </c>
      <c r="S337" s="28"/>
      <c r="T337" s="28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s="2" customFormat="1" x14ac:dyDescent="0.3">
      <c r="A338" s="1"/>
      <c r="B338" s="1"/>
      <c r="C338" s="1"/>
      <c r="E338" s="5" t="s">
        <v>49</v>
      </c>
      <c r="F338" s="10">
        <f>IFERROR((1-F337/F336),0)</f>
        <v>0.13899755653011181</v>
      </c>
      <c r="G338" s="10">
        <f>IFERROR((1-G337/G336),0)</f>
        <v>0.14673265886081011</v>
      </c>
      <c r="H338" s="10">
        <f>IFERROR((1-H337/H336),0)</f>
        <v>0.14082541363359313</v>
      </c>
      <c r="I338" s="10">
        <f>IFERROR((1-I337/I336),0)</f>
        <v>0.14584039188610964</v>
      </c>
      <c r="J338" s="10">
        <f>IFERROR((1-J337/J336),0)</f>
        <v>0.13877763644264951</v>
      </c>
      <c r="K338" s="10">
        <v>0.15276298358842411</v>
      </c>
      <c r="L338" s="10">
        <f>IFERROR((1-L337/L336),0)</f>
        <v>0.11941268376389758</v>
      </c>
      <c r="M338" s="10">
        <f>IFERROR((1-M337/M336),0)</f>
        <v>0.14098711178712042</v>
      </c>
      <c r="N338" s="10">
        <f>IFERROR((1-N337/N336),0)</f>
        <v>0.1456030652725413</v>
      </c>
      <c r="O338" s="10">
        <f>IFERROR((1-O337/O336),0)</f>
        <v>0.13004930575139984</v>
      </c>
      <c r="P338" s="10">
        <f>IFERROR((1-P337/P336),0)</f>
        <v>0</v>
      </c>
      <c r="Q338" s="10">
        <f>IFERROR((1-Q337/Q336),0)</f>
        <v>0</v>
      </c>
      <c r="S338" s="28"/>
      <c r="T338" s="28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x14ac:dyDescent="0.3">
      <c r="E339" s="5" t="s">
        <v>3</v>
      </c>
      <c r="F339" s="8">
        <v>125</v>
      </c>
      <c r="G339" s="8">
        <v>176</v>
      </c>
      <c r="H339" s="8">
        <v>150</v>
      </c>
      <c r="I339" s="8">
        <v>118</v>
      </c>
      <c r="J339" s="8">
        <v>77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</row>
    <row r="340" spans="1:107" x14ac:dyDescent="0.3">
      <c r="E340" s="5" t="s">
        <v>2</v>
      </c>
      <c r="F340" s="24">
        <f>IFERROR(F336/F325,0)</f>
        <v>355.14975872689968</v>
      </c>
      <c r="G340" s="24">
        <f>IFERROR(G336/G325,0)</f>
        <v>355.63497323600944</v>
      </c>
      <c r="H340" s="24">
        <f>IFERROR(H336/H325,0)</f>
        <v>359.2691895734593</v>
      </c>
      <c r="I340" s="24">
        <f>IFERROR(I336/I325,0)</f>
        <v>356.30708972570875</v>
      </c>
      <c r="J340" s="24">
        <f>IFERROR(J336/J325,0)</f>
        <v>354.21033676332945</v>
      </c>
      <c r="K340" s="24">
        <v>353.55141527913781</v>
      </c>
      <c r="L340" s="24">
        <f>IFERROR(L336/L325,0)</f>
        <v>390.97933808553887</v>
      </c>
      <c r="M340" s="24">
        <f>IFERROR(M336/M325,0)</f>
        <v>399.31317112299422</v>
      </c>
      <c r="N340" s="24">
        <f>IFERROR(N336/N325,0)</f>
        <v>402.28856090651453</v>
      </c>
      <c r="O340" s="24">
        <f>IFERROR(O336/O325,0)</f>
        <v>463.81080191912235</v>
      </c>
      <c r="P340" s="24">
        <f>IFERROR(P336/P325,0)</f>
        <v>0</v>
      </c>
      <c r="Q340" s="24">
        <f>IFERROR(Q336/Q325,0)</f>
        <v>0</v>
      </c>
    </row>
    <row r="341" spans="1:107" x14ac:dyDescent="0.3">
      <c r="E341" s="5" t="s">
        <v>1</v>
      </c>
      <c r="F341" s="56">
        <v>0</v>
      </c>
      <c r="G341" s="56">
        <v>0</v>
      </c>
      <c r="H341" s="56">
        <v>0</v>
      </c>
      <c r="I341" s="56">
        <v>0</v>
      </c>
      <c r="J341" s="56">
        <v>0</v>
      </c>
      <c r="K341" s="56">
        <v>0</v>
      </c>
      <c r="L341" s="56">
        <v>0</v>
      </c>
      <c r="M341" s="56">
        <v>0</v>
      </c>
      <c r="N341" s="56">
        <v>0</v>
      </c>
      <c r="O341" s="56">
        <v>0</v>
      </c>
      <c r="P341" s="56">
        <v>0</v>
      </c>
      <c r="Q341" s="56">
        <v>0</v>
      </c>
    </row>
    <row r="342" spans="1:107" x14ac:dyDescent="0.3">
      <c r="E342" s="5" t="s">
        <v>0</v>
      </c>
      <c r="F342" s="56">
        <v>0</v>
      </c>
      <c r="G342" s="56">
        <v>0</v>
      </c>
      <c r="H342" s="56">
        <v>0</v>
      </c>
      <c r="I342" s="56">
        <v>0</v>
      </c>
      <c r="J342" s="56">
        <v>0</v>
      </c>
      <c r="K342" s="56">
        <v>0</v>
      </c>
      <c r="L342" s="56">
        <v>0</v>
      </c>
      <c r="M342" s="56">
        <v>0</v>
      </c>
      <c r="N342" s="56">
        <v>0</v>
      </c>
      <c r="O342" s="56">
        <v>0</v>
      </c>
      <c r="P342" s="56">
        <v>0</v>
      </c>
      <c r="Q342" s="56">
        <v>0</v>
      </c>
    </row>
    <row r="343" spans="1:107" s="2" customFormat="1" ht="3.6" customHeight="1" x14ac:dyDescent="0.3">
      <c r="F343" s="55"/>
      <c r="G343" s="55"/>
      <c r="H343" s="55"/>
      <c r="I343" s="61"/>
      <c r="J343" s="55"/>
      <c r="K343" s="60"/>
      <c r="L343" s="29"/>
      <c r="M343" s="29"/>
      <c r="N343" s="29"/>
      <c r="O343" s="29"/>
      <c r="P343" s="29"/>
      <c r="Q343" s="29"/>
      <c r="S343" s="28"/>
      <c r="T343" s="28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</sheetData>
  <pageMargins left="0.511811024" right="0.511811024" top="0.78740157499999996" bottom="0.78740157499999996" header="0.31496062000000002" footer="0.31496062000000002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42F38-D049-4D60-A5EB-F849C1A7E306}">
  <sheetPr codeName="Planilha6">
    <tabColor theme="3" tint="-0.499984740745262"/>
  </sheetPr>
  <dimension ref="A1:DC364"/>
  <sheetViews>
    <sheetView tabSelected="1" zoomScale="85" zoomScaleNormal="85" workbookViewId="0">
      <selection activeCell="K7" sqref="K7"/>
    </sheetView>
  </sheetViews>
  <sheetFormatPr defaultColWidth="9.33203125" defaultRowHeight="14.4" x14ac:dyDescent="0.3"/>
  <cols>
    <col min="1" max="2" width="9.33203125" style="1"/>
    <col min="3" max="3" width="12.6640625" style="1" customWidth="1"/>
    <col min="4" max="4" width="0.88671875" style="2" customWidth="1"/>
    <col min="5" max="5" width="30.109375" style="1" bestFit="1" customWidth="1"/>
    <col min="6" max="9" width="15.44140625" style="1" bestFit="1" customWidth="1"/>
    <col min="10" max="10" width="14.109375" style="1" bestFit="1" customWidth="1"/>
    <col min="11" max="12" width="15.5546875" style="1" bestFit="1" customWidth="1"/>
    <col min="13" max="13" width="18" style="1" customWidth="1"/>
    <col min="14" max="14" width="16.6640625" style="1" bestFit="1" customWidth="1"/>
    <col min="15" max="15" width="15.5546875" style="1" bestFit="1" customWidth="1"/>
    <col min="16" max="16" width="15.109375" style="1" bestFit="1" customWidth="1"/>
    <col min="17" max="17" width="14.88671875" style="1" bestFit="1" customWidth="1"/>
    <col min="18" max="18" width="0.88671875" style="2" customWidth="1"/>
    <col min="19" max="20" width="13.88671875" style="28" bestFit="1" customWidth="1"/>
    <col min="21" max="107" width="13.88671875" style="1" bestFit="1" customWidth="1"/>
    <col min="108" max="16384" width="9.33203125" style="1"/>
  </cols>
  <sheetData>
    <row r="1" spans="1:20" s="28" customFormat="1" x14ac:dyDescent="0.3">
      <c r="D1" s="2"/>
      <c r="E1" s="1"/>
      <c r="F1" s="1"/>
      <c r="G1" s="1"/>
      <c r="H1" s="1"/>
      <c r="I1" s="1"/>
      <c r="J1" s="1"/>
      <c r="K1" s="1"/>
      <c r="L1" s="1"/>
      <c r="M1" s="1"/>
      <c r="N1" s="1"/>
      <c r="R1" s="2"/>
    </row>
    <row r="2" spans="1:20" s="28" customFormat="1" x14ac:dyDescent="0.3">
      <c r="D2" s="2"/>
      <c r="E2" s="1"/>
      <c r="F2" s="1"/>
      <c r="G2" s="1"/>
      <c r="H2" s="1"/>
      <c r="I2" s="1"/>
      <c r="J2" s="1"/>
      <c r="K2" s="1"/>
      <c r="L2" s="1"/>
      <c r="M2" s="1"/>
      <c r="N2" s="1"/>
      <c r="R2" s="2"/>
    </row>
    <row r="3" spans="1:20" s="28" customFormat="1" x14ac:dyDescent="0.3">
      <c r="D3" s="2"/>
      <c r="E3" s="1"/>
      <c r="F3" s="1"/>
      <c r="G3" s="1"/>
      <c r="H3" s="1"/>
      <c r="I3" s="1"/>
      <c r="J3" s="1"/>
      <c r="K3" s="1"/>
      <c r="L3" s="1"/>
      <c r="M3" s="1"/>
      <c r="N3" s="1"/>
      <c r="R3" s="2"/>
    </row>
    <row r="4" spans="1:20" s="28" customFormat="1" x14ac:dyDescent="0.3">
      <c r="D4" s="2"/>
      <c r="E4" s="1"/>
      <c r="F4" s="1"/>
      <c r="G4" s="1"/>
      <c r="H4" s="1"/>
      <c r="I4" s="1"/>
      <c r="J4" s="1"/>
      <c r="K4" s="1"/>
      <c r="L4" s="1"/>
      <c r="M4" s="1"/>
      <c r="N4" s="1"/>
      <c r="R4" s="2"/>
    </row>
    <row r="5" spans="1:20" s="28" customFormat="1" x14ac:dyDescent="0.3">
      <c r="D5" s="2"/>
      <c r="E5" s="1"/>
      <c r="F5" s="1"/>
      <c r="G5" s="1"/>
      <c r="H5" s="1"/>
      <c r="I5" s="1"/>
      <c r="J5" s="1"/>
      <c r="K5" s="1"/>
      <c r="L5" s="1"/>
      <c r="M5" s="1"/>
      <c r="N5" s="1"/>
      <c r="R5" s="2"/>
    </row>
    <row r="6" spans="1:20" s="28" customFormat="1" x14ac:dyDescent="0.3">
      <c r="D6" s="2"/>
      <c r="E6" s="1"/>
      <c r="F6" s="1"/>
      <c r="G6" s="1"/>
      <c r="H6" s="1"/>
      <c r="I6" s="1"/>
      <c r="J6" s="1"/>
      <c r="K6" s="1"/>
      <c r="L6" s="1"/>
      <c r="M6" s="1"/>
      <c r="N6" s="1"/>
      <c r="R6" s="2"/>
    </row>
    <row r="7" spans="1:20" s="28" customFormat="1" x14ac:dyDescent="0.3">
      <c r="D7" s="2"/>
      <c r="E7" s="1"/>
      <c r="F7" s="1"/>
      <c r="G7" s="1"/>
      <c r="H7" s="1"/>
      <c r="I7" s="1"/>
      <c r="J7" s="1"/>
      <c r="K7" s="1"/>
      <c r="L7" s="1"/>
      <c r="M7" s="1"/>
      <c r="N7" s="1"/>
      <c r="R7" s="2"/>
    </row>
    <row r="8" spans="1:20" s="28" customFormat="1" x14ac:dyDescent="0.3">
      <c r="D8" s="2"/>
      <c r="E8" s="1"/>
      <c r="F8" s="1"/>
      <c r="G8" s="1"/>
      <c r="H8" s="1"/>
      <c r="I8" s="1"/>
      <c r="J8" s="1"/>
      <c r="K8" s="1"/>
      <c r="L8" s="1"/>
      <c r="M8" s="1"/>
      <c r="N8" s="1"/>
      <c r="R8" s="2"/>
    </row>
    <row r="9" spans="1:20" ht="3" customHeight="1" x14ac:dyDescent="0.3">
      <c r="A9" s="2"/>
      <c r="B9" s="2"/>
      <c r="C9" s="2"/>
      <c r="E9" s="29"/>
      <c r="F9" s="30"/>
      <c r="G9" s="29"/>
      <c r="H9" s="29"/>
      <c r="I9" s="29"/>
      <c r="J9" s="29"/>
      <c r="K9" s="29"/>
      <c r="L9" s="29"/>
      <c r="M9" s="2"/>
      <c r="N9" s="2"/>
      <c r="O9" s="2"/>
      <c r="P9" s="2"/>
      <c r="Q9" s="2"/>
    </row>
    <row r="10" spans="1:20" x14ac:dyDescent="0.3">
      <c r="E10" s="54" t="s">
        <v>33</v>
      </c>
      <c r="F10" s="54" t="s">
        <v>32</v>
      </c>
      <c r="G10" s="54" t="s">
        <v>31</v>
      </c>
      <c r="H10" s="54" t="s">
        <v>30</v>
      </c>
      <c r="I10" s="54" t="s">
        <v>29</v>
      </c>
      <c r="J10" s="54" t="s">
        <v>28</v>
      </c>
      <c r="K10" s="54" t="s">
        <v>27</v>
      </c>
      <c r="L10" s="54" t="s">
        <v>26</v>
      </c>
      <c r="M10" s="54" t="s">
        <v>25</v>
      </c>
      <c r="N10" s="54" t="s">
        <v>24</v>
      </c>
      <c r="O10" s="54" t="s">
        <v>23</v>
      </c>
      <c r="P10" s="54" t="s">
        <v>22</v>
      </c>
      <c r="Q10" s="54" t="s">
        <v>21</v>
      </c>
    </row>
    <row r="11" spans="1:20" s="70" customFormat="1" hidden="1" x14ac:dyDescent="0.3">
      <c r="E11" s="72"/>
      <c r="F11" s="73">
        <v>67796</v>
      </c>
      <c r="G11" s="73">
        <v>20173</v>
      </c>
      <c r="H11" s="73">
        <f>G14-H17+H28</f>
        <v>4624</v>
      </c>
      <c r="I11" s="73">
        <f>H14-I17+I28</f>
        <v>4310</v>
      </c>
      <c r="J11" s="73">
        <f>I14-J17+J28</f>
        <v>4173</v>
      </c>
      <c r="K11" s="73">
        <f>J14-K17+K28</f>
        <v>4157</v>
      </c>
      <c r="L11" s="73">
        <f>K14-L17+L28</f>
        <v>4153</v>
      </c>
      <c r="M11" s="73">
        <f>L14-M17+M28</f>
        <v>0</v>
      </c>
      <c r="N11" s="73">
        <f>M14-N17+N28</f>
        <v>0</v>
      </c>
      <c r="O11" s="73">
        <f>N14-O17+O28</f>
        <v>0</v>
      </c>
      <c r="P11" s="73">
        <f>O14-P17+P28</f>
        <v>0</v>
      </c>
      <c r="Q11" s="72"/>
      <c r="S11" s="71"/>
      <c r="T11" s="71"/>
    </row>
    <row r="12" spans="1:20" s="70" customFormat="1" hidden="1" x14ac:dyDescent="0.3">
      <c r="E12" s="72"/>
      <c r="F12" s="73">
        <f>F14-F11</f>
        <v>-62441</v>
      </c>
      <c r="G12" s="73">
        <v>0</v>
      </c>
      <c r="H12" s="73">
        <f>H14-H11</f>
        <v>-81</v>
      </c>
      <c r="I12" s="73">
        <f>I14-I11</f>
        <v>-9</v>
      </c>
      <c r="J12" s="73">
        <f>J14-J11</f>
        <v>-2</v>
      </c>
      <c r="K12" s="73">
        <f>K14-K11</f>
        <v>-4</v>
      </c>
      <c r="L12" s="73">
        <f>L14-L11</f>
        <v>-4153</v>
      </c>
      <c r="M12" s="73">
        <f>M14-M11</f>
        <v>0</v>
      </c>
      <c r="N12" s="73">
        <f>N14-N11</f>
        <v>0</v>
      </c>
      <c r="O12" s="73">
        <f>O14-O11</f>
        <v>0</v>
      </c>
      <c r="P12" s="73">
        <f>P14-P11</f>
        <v>0</v>
      </c>
      <c r="Q12" s="72"/>
      <c r="S12" s="71"/>
      <c r="T12" s="71"/>
    </row>
    <row r="13" spans="1:20" x14ac:dyDescent="0.3">
      <c r="E13" s="5" t="s">
        <v>20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</row>
    <row r="14" spans="1:20" x14ac:dyDescent="0.3">
      <c r="E14" s="5" t="s">
        <v>19</v>
      </c>
      <c r="F14" s="8">
        <f>SUM(F15:F16)</f>
        <v>5355</v>
      </c>
      <c r="G14" s="8">
        <v>4966</v>
      </c>
      <c r="H14" s="8">
        <f>SUM(H15:H16)</f>
        <v>4543</v>
      </c>
      <c r="I14" s="8">
        <f>SUM(I15:I16)</f>
        <v>4301</v>
      </c>
      <c r="J14" s="8">
        <f>SUM(J15:J16)</f>
        <v>4171</v>
      </c>
      <c r="K14" s="8">
        <f>SUM(K15:K16)</f>
        <v>4153</v>
      </c>
      <c r="L14" s="8">
        <f>SUM(L15:L16)</f>
        <v>0</v>
      </c>
      <c r="M14" s="8">
        <f>SUM(M15:M16)</f>
        <v>0</v>
      </c>
      <c r="N14" s="8">
        <f>SUM(N15:N16)</f>
        <v>0</v>
      </c>
      <c r="O14" s="8">
        <f>SUM(O15:O16)</f>
        <v>0</v>
      </c>
      <c r="P14" s="8">
        <f>SUM(P15:P16)</f>
        <v>0</v>
      </c>
      <c r="Q14" s="8">
        <f>SUM(Q15:Q16)</f>
        <v>0</v>
      </c>
    </row>
    <row r="15" spans="1:20" x14ac:dyDescent="0.3">
      <c r="E15" s="14" t="s">
        <v>41</v>
      </c>
      <c r="F15" s="8">
        <v>462</v>
      </c>
      <c r="G15" s="8">
        <v>435</v>
      </c>
      <c r="H15" s="8">
        <v>422</v>
      </c>
      <c r="I15" s="8">
        <v>409</v>
      </c>
      <c r="J15" s="8">
        <v>402</v>
      </c>
      <c r="K15" s="8">
        <v>402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</row>
    <row r="16" spans="1:20" x14ac:dyDescent="0.3">
      <c r="E16" s="14" t="s">
        <v>40</v>
      </c>
      <c r="F16" s="8">
        <v>4893</v>
      </c>
      <c r="G16" s="8">
        <v>4531</v>
      </c>
      <c r="H16" s="8">
        <v>4121</v>
      </c>
      <c r="I16" s="8">
        <v>3892</v>
      </c>
      <c r="J16" s="8">
        <v>3769</v>
      </c>
      <c r="K16" s="8">
        <v>3751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</row>
    <row r="17" spans="1:107" x14ac:dyDescent="0.3">
      <c r="E17" s="5" t="s">
        <v>39</v>
      </c>
      <c r="F17" s="8">
        <f>SUM(F20:F24)</f>
        <v>336</v>
      </c>
      <c r="G17" s="8">
        <v>312</v>
      </c>
      <c r="H17" s="8">
        <f>SUM(H20:H24)</f>
        <v>342</v>
      </c>
      <c r="I17" s="8">
        <f>SUM(I20:I24)</f>
        <v>233</v>
      </c>
      <c r="J17" s="8">
        <f>SUM(J20:J24)</f>
        <v>128</v>
      </c>
      <c r="K17" s="8">
        <f>SUM(K20:K24)</f>
        <v>14</v>
      </c>
      <c r="L17" s="8">
        <f>SUM(L20:L24)</f>
        <v>0</v>
      </c>
      <c r="M17" s="8">
        <f>SUM(M20:M24)</f>
        <v>0</v>
      </c>
      <c r="N17" s="8">
        <f>SUM(N20:N24)</f>
        <v>0</v>
      </c>
      <c r="O17" s="8">
        <f>SUM(O20:O24)</f>
        <v>0</v>
      </c>
      <c r="P17" s="8">
        <f>SUM(P20:P24)</f>
        <v>0</v>
      </c>
      <c r="Q17" s="8">
        <f>SUM(Q20:Q24)</f>
        <v>0</v>
      </c>
    </row>
    <row r="18" spans="1:107" x14ac:dyDescent="0.3">
      <c r="E18" s="5" t="s">
        <v>15</v>
      </c>
      <c r="F18" s="8">
        <v>119</v>
      </c>
      <c r="G18" s="8">
        <v>72</v>
      </c>
      <c r="H18" s="8">
        <v>92</v>
      </c>
      <c r="I18" s="8">
        <v>84</v>
      </c>
      <c r="J18" s="8">
        <v>67</v>
      </c>
      <c r="K18" s="8">
        <v>18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</row>
    <row r="19" spans="1:107" x14ac:dyDescent="0.3">
      <c r="E19" s="5" t="s">
        <v>14</v>
      </c>
      <c r="F19" s="10">
        <f>IFERROR(F17/'Relatório Indicadores 25'!Q14,0)</f>
        <v>5.8659217877094973E-2</v>
      </c>
      <c r="G19" s="10">
        <f>IFERROR(G17/F14,0)</f>
        <v>5.8263305322128853E-2</v>
      </c>
      <c r="H19" s="10">
        <f>IFERROR(H17/G14,0)</f>
        <v>6.8868304470398711E-2</v>
      </c>
      <c r="I19" s="10">
        <f>IFERROR(I17/H14,0)</f>
        <v>5.1287695355491963E-2</v>
      </c>
      <c r="J19" s="10">
        <f>IFERROR(J17/I14,0)</f>
        <v>2.976052080911416E-2</v>
      </c>
      <c r="K19" s="10">
        <f>IFERROR(K17/J14,0)</f>
        <v>3.3565092304003838E-3</v>
      </c>
      <c r="L19" s="10">
        <f>IFERROR(L17/K14,0)</f>
        <v>0</v>
      </c>
      <c r="M19" s="10">
        <f>IFERROR(M17/L14,0)</f>
        <v>0</v>
      </c>
      <c r="N19" s="10">
        <f>IFERROR(N17/M14,0)</f>
        <v>0</v>
      </c>
      <c r="O19" s="10">
        <f>IFERROR(O17/N14,0)</f>
        <v>0</v>
      </c>
      <c r="P19" s="10">
        <f>IFERROR(P17/O14,0)</f>
        <v>0</v>
      </c>
      <c r="Q19" s="10">
        <f>IFERROR(Q17/P14,0)</f>
        <v>0</v>
      </c>
    </row>
    <row r="20" spans="1:107" x14ac:dyDescent="0.3">
      <c r="E20" s="5" t="s">
        <v>13</v>
      </c>
      <c r="F20" s="8">
        <v>43</v>
      </c>
      <c r="G20" s="8">
        <v>23</v>
      </c>
      <c r="H20" s="8">
        <v>43</v>
      </c>
      <c r="I20" s="8">
        <v>41</v>
      </c>
      <c r="J20" s="8">
        <v>27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</row>
    <row r="21" spans="1:107" x14ac:dyDescent="0.3">
      <c r="E21" s="5" t="s">
        <v>12</v>
      </c>
      <c r="F21" s="8">
        <v>279</v>
      </c>
      <c r="G21" s="8">
        <v>266</v>
      </c>
      <c r="H21" s="8">
        <v>220</v>
      </c>
      <c r="I21" s="8">
        <v>144</v>
      </c>
      <c r="J21" s="8">
        <v>78</v>
      </c>
      <c r="K21" s="8">
        <v>13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</row>
    <row r="22" spans="1:107" x14ac:dyDescent="0.3">
      <c r="E22" s="5" t="s">
        <v>11</v>
      </c>
      <c r="F22" s="8">
        <v>10</v>
      </c>
      <c r="G22" s="8">
        <v>19</v>
      </c>
      <c r="H22" s="8">
        <v>78</v>
      </c>
      <c r="I22" s="8">
        <v>47</v>
      </c>
      <c r="J22" s="8">
        <v>20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</row>
    <row r="23" spans="1:107" s="2" customFormat="1" x14ac:dyDescent="0.3">
      <c r="A23" s="1"/>
      <c r="B23" s="1"/>
      <c r="C23" s="1"/>
      <c r="E23" s="5" t="s">
        <v>50</v>
      </c>
      <c r="F23" s="42">
        <v>4</v>
      </c>
      <c r="G23" s="42">
        <v>1</v>
      </c>
      <c r="H23" s="42">
        <v>1</v>
      </c>
      <c r="I23" s="42">
        <v>1</v>
      </c>
      <c r="J23" s="42">
        <v>3</v>
      </c>
      <c r="K23" s="42">
        <v>0</v>
      </c>
      <c r="L23" s="42">
        <v>0</v>
      </c>
      <c r="M23" s="42">
        <v>0</v>
      </c>
      <c r="N23" s="42">
        <v>0</v>
      </c>
      <c r="O23" s="42">
        <v>0</v>
      </c>
      <c r="P23" s="42">
        <v>0</v>
      </c>
      <c r="Q23" s="42">
        <v>0</v>
      </c>
      <c r="S23" s="28"/>
      <c r="T23" s="28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</row>
    <row r="24" spans="1:107" s="2" customFormat="1" x14ac:dyDescent="0.3">
      <c r="A24" s="1"/>
      <c r="B24" s="1"/>
      <c r="C24" s="1"/>
      <c r="E24" s="5" t="s">
        <v>46</v>
      </c>
      <c r="F24" s="42">
        <v>0</v>
      </c>
      <c r="G24" s="42">
        <v>3</v>
      </c>
      <c r="H24" s="42">
        <v>0</v>
      </c>
      <c r="I24" s="42">
        <v>0</v>
      </c>
      <c r="J24" s="42">
        <v>0</v>
      </c>
      <c r="K24" s="42">
        <v>1</v>
      </c>
      <c r="L24" s="42">
        <v>0</v>
      </c>
      <c r="M24" s="42">
        <v>0</v>
      </c>
      <c r="N24" s="42">
        <v>0</v>
      </c>
      <c r="O24" s="42">
        <v>0</v>
      </c>
      <c r="P24" s="42">
        <v>0</v>
      </c>
      <c r="Q24" s="42">
        <v>0</v>
      </c>
      <c r="S24" s="28"/>
      <c r="T24" s="28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</row>
    <row r="25" spans="1:107" s="2" customFormat="1" x14ac:dyDescent="0.3">
      <c r="A25" s="1"/>
      <c r="B25" s="1"/>
      <c r="C25" s="1"/>
      <c r="E25" s="5" t="s">
        <v>6</v>
      </c>
      <c r="F25" s="23">
        <v>8150226.8999999659</v>
      </c>
      <c r="G25" s="23">
        <v>7422111.8104414921</v>
      </c>
      <c r="H25" s="23">
        <v>6707545.1499999324</v>
      </c>
      <c r="I25" s="23">
        <v>6366978.7599999569</v>
      </c>
      <c r="J25" s="23">
        <v>6110570.0499999691</v>
      </c>
      <c r="K25" s="23">
        <v>4262384.5899999849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S25" s="28"/>
      <c r="T25" s="28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</row>
    <row r="26" spans="1:107" s="2" customFormat="1" x14ac:dyDescent="0.3">
      <c r="A26" s="1"/>
      <c r="B26" s="1"/>
      <c r="C26" s="1"/>
      <c r="E26" s="5" t="s">
        <v>5</v>
      </c>
      <c r="F26" s="23">
        <v>7487330.5399999665</v>
      </c>
      <c r="G26" s="23">
        <v>6713587.8504119916</v>
      </c>
      <c r="H26" s="23">
        <v>6225576.7299999325</v>
      </c>
      <c r="I26" s="23">
        <v>5888137.9599999562</v>
      </c>
      <c r="J26" s="23">
        <v>5692769.469999969</v>
      </c>
      <c r="K26" s="23">
        <v>1782358.2699999982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S26" s="28"/>
      <c r="T26" s="28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</row>
    <row r="27" spans="1:107" s="2" customFormat="1" x14ac:dyDescent="0.3">
      <c r="A27" s="1"/>
      <c r="B27" s="1"/>
      <c r="C27" s="1"/>
      <c r="E27" s="5" t="s">
        <v>49</v>
      </c>
      <c r="F27" s="10">
        <f>IFERROR((1-F26/F25),0)</f>
        <v>8.1334712288807842E-2</v>
      </c>
      <c r="G27" s="10">
        <v>9.546123503997106E-2</v>
      </c>
      <c r="H27" s="10">
        <f>IFERROR((1-H26/H25),0)</f>
        <v>7.1854666531764533E-2</v>
      </c>
      <c r="I27" s="10">
        <f>IFERROR((1-I26/I25),0)</f>
        <v>7.5206910223775236E-2</v>
      </c>
      <c r="J27" s="10">
        <f>IFERROR((1-J26/J25),0)</f>
        <v>6.8373421232606924E-2</v>
      </c>
      <c r="K27" s="10">
        <f>IFERROR((1-K26/K25),0)</f>
        <v>0.58184011030313798</v>
      </c>
      <c r="L27" s="10">
        <f>IFERROR((1-L26/L25),0)</f>
        <v>0</v>
      </c>
      <c r="M27" s="10">
        <f>IFERROR((1-M26/M25),0)</f>
        <v>0</v>
      </c>
      <c r="N27" s="10">
        <f>IFERROR((1-N26/N25),0)</f>
        <v>0</v>
      </c>
      <c r="O27" s="10">
        <f>IFERROR((1-O26/O25),0)</f>
        <v>0</v>
      </c>
      <c r="P27" s="10">
        <f>IFERROR((1-P26/P25),0)</f>
        <v>0</v>
      </c>
      <c r="Q27" s="10">
        <f>IFERROR((1-Q26/Q25),0)</f>
        <v>0</v>
      </c>
      <c r="S27" s="28"/>
      <c r="T27" s="28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</row>
    <row r="28" spans="1:107" s="2" customFormat="1" x14ac:dyDescent="0.3">
      <c r="A28" s="1"/>
      <c r="B28" s="1"/>
      <c r="C28" s="1"/>
      <c r="E28" s="5" t="s">
        <v>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S28" s="28"/>
      <c r="T28" s="28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</row>
    <row r="29" spans="1:107" s="2" customFormat="1" x14ac:dyDescent="0.3">
      <c r="A29" s="1"/>
      <c r="B29" s="1"/>
      <c r="C29" s="1"/>
      <c r="E29" s="5" t="s">
        <v>2</v>
      </c>
      <c r="F29" s="24">
        <f>IFERROR(F25/F14,0)</f>
        <v>1521.9844817927108</v>
      </c>
      <c r="G29" s="24">
        <v>1494.5855437860434</v>
      </c>
      <c r="H29" s="24">
        <f>IFERROR(H25/H14,0)</f>
        <v>1476.4572198987305</v>
      </c>
      <c r="I29" s="24">
        <f>IFERROR(I25/I14,0)</f>
        <v>1480.3484677981764</v>
      </c>
      <c r="J29" s="24">
        <f>IFERROR(J25/J14,0)</f>
        <v>1465.0131982737878</v>
      </c>
      <c r="K29" s="24">
        <f>IFERROR(K25/K14,0)</f>
        <v>1026.3386925114339</v>
      </c>
      <c r="L29" s="24">
        <f>IFERROR(L25/L14,0)</f>
        <v>0</v>
      </c>
      <c r="M29" s="24">
        <f>IFERROR(M25/M14,0)</f>
        <v>0</v>
      </c>
      <c r="N29" s="24">
        <f>IFERROR(N25/N14,0)</f>
        <v>0</v>
      </c>
      <c r="O29" s="24">
        <f>IFERROR(O25/O14,0)</f>
        <v>0</v>
      </c>
      <c r="P29" s="24">
        <f>IFERROR(P25/P14,0)</f>
        <v>0</v>
      </c>
      <c r="Q29" s="24">
        <f>IFERROR(Q25/Q14,0)</f>
        <v>0</v>
      </c>
      <c r="S29" s="28"/>
      <c r="T29" s="28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</row>
    <row r="30" spans="1:107" s="2" customFormat="1" x14ac:dyDescent="0.3">
      <c r="A30" s="1"/>
      <c r="B30" s="1"/>
      <c r="C30" s="1"/>
      <c r="E30" s="5" t="s">
        <v>1</v>
      </c>
      <c r="F30" s="56">
        <v>0</v>
      </c>
      <c r="G30" s="56">
        <v>0</v>
      </c>
      <c r="H30" s="56">
        <v>0</v>
      </c>
      <c r="I30" s="56">
        <v>0</v>
      </c>
      <c r="J30" s="56">
        <v>0</v>
      </c>
      <c r="K30" s="56">
        <v>0</v>
      </c>
      <c r="L30" s="56">
        <v>0</v>
      </c>
      <c r="M30" s="56">
        <v>0</v>
      </c>
      <c r="N30" s="56">
        <v>0</v>
      </c>
      <c r="O30" s="56">
        <v>0</v>
      </c>
      <c r="P30" s="56">
        <v>0</v>
      </c>
      <c r="Q30" s="56">
        <v>0</v>
      </c>
      <c r="S30" s="28"/>
      <c r="T30" s="28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 s="2" customFormat="1" x14ac:dyDescent="0.3">
      <c r="A31" s="1"/>
      <c r="B31" s="1"/>
      <c r="C31" s="1"/>
      <c r="E31" s="5" t="s">
        <v>0</v>
      </c>
      <c r="F31" s="56">
        <v>0</v>
      </c>
      <c r="G31" s="56">
        <v>0</v>
      </c>
      <c r="H31" s="56">
        <v>0</v>
      </c>
      <c r="I31" s="56">
        <v>0</v>
      </c>
      <c r="J31" s="56">
        <v>0</v>
      </c>
      <c r="K31" s="56">
        <v>0</v>
      </c>
      <c r="L31" s="56">
        <v>0</v>
      </c>
      <c r="M31" s="56">
        <v>0</v>
      </c>
      <c r="N31" s="56">
        <v>0</v>
      </c>
      <c r="O31" s="56">
        <v>0</v>
      </c>
      <c r="P31" s="56">
        <v>0</v>
      </c>
      <c r="Q31" s="56">
        <v>0</v>
      </c>
      <c r="S31" s="28"/>
      <c r="T31" s="28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 s="2" customFormat="1" ht="1.95" customHeight="1" x14ac:dyDescent="0.3">
      <c r="F32" s="55"/>
      <c r="G32" s="55"/>
      <c r="H32" s="55"/>
      <c r="I32" s="61"/>
      <c r="J32" s="55"/>
      <c r="K32" s="60"/>
      <c r="L32" s="29"/>
      <c r="M32" s="29"/>
      <c r="N32" s="29"/>
      <c r="O32" s="29"/>
      <c r="P32" s="29"/>
      <c r="Q32" s="29"/>
      <c r="S32" s="28"/>
      <c r="T32" s="28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 s="2" customFormat="1" hidden="1" x14ac:dyDescent="0.3">
      <c r="F33" s="55">
        <v>10698</v>
      </c>
      <c r="G33" s="55">
        <v>10487</v>
      </c>
      <c r="H33" s="55">
        <f>G37-H40+H51</f>
        <v>5257</v>
      </c>
      <c r="I33" s="55">
        <f>H37-I40+I51</f>
        <v>5059</v>
      </c>
      <c r="J33" s="55">
        <f>I37-J40+J51</f>
        <v>4883</v>
      </c>
      <c r="K33" s="55">
        <v>6631</v>
      </c>
      <c r="L33" s="55">
        <f>K37-L40+L51</f>
        <v>4878</v>
      </c>
      <c r="M33" s="55">
        <f>L37-M40+M51</f>
        <v>0</v>
      </c>
      <c r="N33" s="55">
        <f>M37-N40+N51</f>
        <v>0</v>
      </c>
      <c r="O33" s="55">
        <f>N37-O40+O51</f>
        <v>0</v>
      </c>
      <c r="P33" s="55">
        <f>O37-P40+P51</f>
        <v>0</v>
      </c>
      <c r="Q33" s="29"/>
      <c r="S33" s="28"/>
      <c r="T33" s="28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 s="2" customFormat="1" hidden="1" x14ac:dyDescent="0.3">
      <c r="F34" s="55">
        <f>F37-F33</f>
        <v>-4995</v>
      </c>
      <c r="G34" s="55">
        <v>0</v>
      </c>
      <c r="H34" s="55">
        <f>H37-H33</f>
        <v>-9</v>
      </c>
      <c r="I34" s="55">
        <f>I37-I33</f>
        <v>3</v>
      </c>
      <c r="J34" s="55">
        <f>J37-J33</f>
        <v>1</v>
      </c>
      <c r="K34" s="55">
        <v>-3</v>
      </c>
      <c r="L34" s="55">
        <f>L37-L33</f>
        <v>-4878</v>
      </c>
      <c r="M34" s="55">
        <f>M37-M33</f>
        <v>0</v>
      </c>
      <c r="N34" s="55">
        <f>N37-N33</f>
        <v>0</v>
      </c>
      <c r="O34" s="55">
        <f>O37-O33</f>
        <v>0</v>
      </c>
      <c r="P34" s="55">
        <f>P37-P33</f>
        <v>0</v>
      </c>
      <c r="Q34" s="29"/>
      <c r="S34" s="28"/>
      <c r="T34" s="28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  <row r="35" spans="1:107" s="2" customFormat="1" x14ac:dyDescent="0.3">
      <c r="A35" s="1"/>
      <c r="B35" s="1"/>
      <c r="C35" s="1"/>
      <c r="E35" s="54" t="s">
        <v>33</v>
      </c>
      <c r="F35" s="54" t="s">
        <v>32</v>
      </c>
      <c r="G35" s="54" t="s">
        <v>31</v>
      </c>
      <c r="H35" s="54" t="s">
        <v>30</v>
      </c>
      <c r="I35" s="54" t="s">
        <v>29</v>
      </c>
      <c r="J35" s="54" t="s">
        <v>28</v>
      </c>
      <c r="K35" s="54" t="s">
        <v>27</v>
      </c>
      <c r="L35" s="54" t="s">
        <v>26</v>
      </c>
      <c r="M35" s="54" t="s">
        <v>25</v>
      </c>
      <c r="N35" s="54" t="s">
        <v>24</v>
      </c>
      <c r="O35" s="54" t="s">
        <v>23</v>
      </c>
      <c r="P35" s="54" t="s">
        <v>22</v>
      </c>
      <c r="Q35" s="54" t="s">
        <v>21</v>
      </c>
      <c r="S35" s="28"/>
      <c r="T35" s="28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</row>
    <row r="36" spans="1:107" x14ac:dyDescent="0.3">
      <c r="E36" s="5" t="s">
        <v>20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</row>
    <row r="37" spans="1:107" s="2" customFormat="1" x14ac:dyDescent="0.3">
      <c r="A37" s="1"/>
      <c r="B37" s="1"/>
      <c r="C37" s="1"/>
      <c r="E37" s="5" t="s">
        <v>19</v>
      </c>
      <c r="F37" s="8">
        <f>SUM(F38:F39)</f>
        <v>5703</v>
      </c>
      <c r="G37" s="8">
        <f>SUM(G38:G39)</f>
        <v>5498</v>
      </c>
      <c r="H37" s="8">
        <f>SUM(H38:H39)</f>
        <v>5248</v>
      </c>
      <c r="I37" s="8">
        <f>SUM(I38:I39)</f>
        <v>5062</v>
      </c>
      <c r="J37" s="8">
        <f>SUM(J38:J39)</f>
        <v>4884</v>
      </c>
      <c r="K37" s="8">
        <f>SUM(K38:K39)</f>
        <v>4878</v>
      </c>
      <c r="L37" s="8">
        <f>SUM(L38:L39)</f>
        <v>0</v>
      </c>
      <c r="M37" s="8">
        <f>SUM(M38:M39)</f>
        <v>0</v>
      </c>
      <c r="N37" s="8">
        <f>SUM(N38:N39)</f>
        <v>0</v>
      </c>
      <c r="O37" s="8">
        <f>SUM(O38:O39)</f>
        <v>0</v>
      </c>
      <c r="P37" s="8">
        <f>SUM(P38:P39)</f>
        <v>0</v>
      </c>
      <c r="Q37" s="8">
        <f>SUM(Q38:Q39)</f>
        <v>0</v>
      </c>
      <c r="S37" s="28"/>
      <c r="T37" s="28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</row>
    <row r="38" spans="1:107" s="2" customFormat="1" x14ac:dyDescent="0.3">
      <c r="A38" s="1"/>
      <c r="B38" s="1"/>
      <c r="C38" s="1"/>
      <c r="E38" s="14" t="s">
        <v>41</v>
      </c>
      <c r="F38" s="8">
        <v>322</v>
      </c>
      <c r="G38" s="8">
        <v>317</v>
      </c>
      <c r="H38" s="8">
        <v>308</v>
      </c>
      <c r="I38" s="8">
        <v>302</v>
      </c>
      <c r="J38" s="8">
        <v>294</v>
      </c>
      <c r="K38" s="8">
        <v>294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S38" s="28"/>
      <c r="T38" s="28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</row>
    <row r="39" spans="1:107" s="2" customFormat="1" x14ac:dyDescent="0.3">
      <c r="A39" s="1"/>
      <c r="B39" s="1"/>
      <c r="C39" s="1"/>
      <c r="E39" s="14" t="s">
        <v>40</v>
      </c>
      <c r="F39" s="8">
        <v>5381</v>
      </c>
      <c r="G39" s="8">
        <v>5181</v>
      </c>
      <c r="H39" s="8">
        <v>4940</v>
      </c>
      <c r="I39" s="8">
        <v>4760</v>
      </c>
      <c r="J39" s="8">
        <v>4590</v>
      </c>
      <c r="K39" s="8">
        <v>4584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S39" s="28"/>
      <c r="T39" s="28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</row>
    <row r="40" spans="1:107" s="2" customFormat="1" x14ac:dyDescent="0.3">
      <c r="A40" s="1"/>
      <c r="B40" s="1"/>
      <c r="C40" s="1"/>
      <c r="E40" s="5" t="s">
        <v>39</v>
      </c>
      <c r="F40" s="8">
        <f>SUM(F43:F47)</f>
        <v>252</v>
      </c>
      <c r="G40" s="8">
        <f>SUM(G43:G47)</f>
        <v>227</v>
      </c>
      <c r="H40" s="8">
        <f>SUM(H43:H47)</f>
        <v>249</v>
      </c>
      <c r="I40" s="8">
        <f>SUM(I43:I47)</f>
        <v>191</v>
      </c>
      <c r="J40" s="8">
        <f>SUM(J43:J47)</f>
        <v>186</v>
      </c>
      <c r="K40" s="8">
        <f>SUM(K43:K47)</f>
        <v>17</v>
      </c>
      <c r="L40" s="8">
        <f>SUM(L43:L47)</f>
        <v>0</v>
      </c>
      <c r="M40" s="8">
        <f>SUM(M43:M47)</f>
        <v>0</v>
      </c>
      <c r="N40" s="8">
        <f>SUM(N43:N47)</f>
        <v>0</v>
      </c>
      <c r="O40" s="8">
        <f>SUM(O43:O47)</f>
        <v>0</v>
      </c>
      <c r="P40" s="8">
        <f>SUM(P43:P47)</f>
        <v>0</v>
      </c>
      <c r="Q40" s="8">
        <f>SUM(Q43:Q47)</f>
        <v>0</v>
      </c>
      <c r="S40" s="28"/>
      <c r="T40" s="28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</row>
    <row r="41" spans="1:107" s="2" customFormat="1" x14ac:dyDescent="0.3">
      <c r="A41" s="1"/>
      <c r="B41" s="1"/>
      <c r="C41" s="1"/>
      <c r="E41" s="5" t="s">
        <v>15</v>
      </c>
      <c r="F41" s="8">
        <v>4</v>
      </c>
      <c r="G41" s="8">
        <v>197</v>
      </c>
      <c r="H41" s="8">
        <v>8</v>
      </c>
      <c r="I41" s="8">
        <v>11</v>
      </c>
      <c r="J41" s="8">
        <v>5</v>
      </c>
      <c r="K41" s="8">
        <v>1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S41" s="28"/>
      <c r="T41" s="28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</row>
    <row r="42" spans="1:107" s="2" customFormat="1" x14ac:dyDescent="0.3">
      <c r="A42" s="1"/>
      <c r="B42" s="1"/>
      <c r="C42" s="1"/>
      <c r="E42" s="5" t="s">
        <v>14</v>
      </c>
      <c r="F42" s="10">
        <f>IFERROR(F40/'Relatório Indicadores 25'!Q37,0)</f>
        <v>4.2988741044012284E-2</v>
      </c>
      <c r="G42" s="10">
        <f>IFERROR(G40/F37,0)</f>
        <v>3.9803612133964578E-2</v>
      </c>
      <c r="H42" s="10">
        <f>IFERROR(H40/G37,0)</f>
        <v>4.5289196071298651E-2</v>
      </c>
      <c r="I42" s="10">
        <f>IFERROR(I40/H37,0)</f>
        <v>3.6394817073170729E-2</v>
      </c>
      <c r="J42" s="10">
        <f>IFERROR(J40/I37,0)</f>
        <v>3.6744369814302645E-2</v>
      </c>
      <c r="K42" s="10">
        <f>IFERROR(K40/J37,0)</f>
        <v>3.4807534807534809E-3</v>
      </c>
      <c r="L42" s="10">
        <f>IFERROR(L40/K37,0)</f>
        <v>0</v>
      </c>
      <c r="M42" s="10">
        <f>IFERROR(M40/L37,0)</f>
        <v>0</v>
      </c>
      <c r="N42" s="10">
        <f>IFERROR(N40/M37,0)</f>
        <v>0</v>
      </c>
      <c r="O42" s="10">
        <f>IFERROR(O40/N37,0)</f>
        <v>0</v>
      </c>
      <c r="P42" s="10">
        <f>IFERROR(P40/O37,0)</f>
        <v>0</v>
      </c>
      <c r="Q42" s="10">
        <f>IFERROR(Q40/P37,0)</f>
        <v>0</v>
      </c>
      <c r="S42" s="28"/>
      <c r="T42" s="28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</row>
    <row r="43" spans="1:107" s="2" customFormat="1" x14ac:dyDescent="0.3">
      <c r="A43" s="1"/>
      <c r="B43" s="1"/>
      <c r="C43" s="1"/>
      <c r="E43" s="5" t="s">
        <v>13</v>
      </c>
      <c r="F43" s="8">
        <v>90</v>
      </c>
      <c r="G43" s="8">
        <v>81</v>
      </c>
      <c r="H43" s="8">
        <v>101</v>
      </c>
      <c r="I43" s="8">
        <v>81</v>
      </c>
      <c r="J43" s="8">
        <v>78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S43" s="28"/>
      <c r="T43" s="28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</row>
    <row r="44" spans="1:107" s="2" customFormat="1" x14ac:dyDescent="0.3">
      <c r="A44" s="1"/>
      <c r="B44" s="1"/>
      <c r="C44" s="1"/>
      <c r="E44" s="5" t="s">
        <v>12</v>
      </c>
      <c r="F44" s="8">
        <v>115</v>
      </c>
      <c r="G44" s="8">
        <v>101</v>
      </c>
      <c r="H44" s="8">
        <v>99</v>
      </c>
      <c r="I44" s="8">
        <v>82</v>
      </c>
      <c r="J44" s="8">
        <v>81</v>
      </c>
      <c r="K44" s="8">
        <v>17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S44" s="28"/>
      <c r="T44" s="28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</row>
    <row r="45" spans="1:107" s="2" customFormat="1" x14ac:dyDescent="0.3">
      <c r="A45" s="1"/>
      <c r="B45" s="1"/>
      <c r="C45" s="1"/>
      <c r="E45" s="5" t="s">
        <v>11</v>
      </c>
      <c r="F45" s="8">
        <v>41</v>
      </c>
      <c r="G45" s="8">
        <v>40</v>
      </c>
      <c r="H45" s="8">
        <v>47</v>
      </c>
      <c r="I45" s="8">
        <v>27</v>
      </c>
      <c r="J45" s="8">
        <v>25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S45" s="28"/>
      <c r="T45" s="28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</row>
    <row r="46" spans="1:107" s="2" customFormat="1" x14ac:dyDescent="0.3">
      <c r="A46" s="1"/>
      <c r="B46" s="1"/>
      <c r="C46" s="1"/>
      <c r="E46" s="5" t="s">
        <v>50</v>
      </c>
      <c r="F46" s="42">
        <v>2</v>
      </c>
      <c r="G46" s="42">
        <v>0</v>
      </c>
      <c r="H46" s="42">
        <v>0</v>
      </c>
      <c r="I46" s="42">
        <v>0</v>
      </c>
      <c r="J46" s="42">
        <v>1</v>
      </c>
      <c r="K46" s="42">
        <v>0</v>
      </c>
      <c r="L46" s="42">
        <v>0</v>
      </c>
      <c r="M46" s="42">
        <v>0</v>
      </c>
      <c r="N46" s="42">
        <v>0</v>
      </c>
      <c r="O46" s="42">
        <v>0</v>
      </c>
      <c r="P46" s="42">
        <v>0</v>
      </c>
      <c r="Q46" s="42">
        <v>0</v>
      </c>
      <c r="S46" s="28"/>
      <c r="T46" s="28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</row>
    <row r="47" spans="1:107" s="2" customFormat="1" x14ac:dyDescent="0.3">
      <c r="A47" s="1"/>
      <c r="B47" s="1"/>
      <c r="C47" s="1"/>
      <c r="E47" s="5" t="s">
        <v>46</v>
      </c>
      <c r="F47" s="42">
        <v>4</v>
      </c>
      <c r="G47" s="42">
        <v>5</v>
      </c>
      <c r="H47" s="42">
        <v>2</v>
      </c>
      <c r="I47" s="42">
        <v>1</v>
      </c>
      <c r="J47" s="42">
        <v>1</v>
      </c>
      <c r="K47" s="42">
        <v>0</v>
      </c>
      <c r="L47" s="42">
        <v>0</v>
      </c>
      <c r="M47" s="42">
        <v>0</v>
      </c>
      <c r="N47" s="42">
        <v>0</v>
      </c>
      <c r="O47" s="42">
        <v>0</v>
      </c>
      <c r="P47" s="42">
        <v>0</v>
      </c>
      <c r="Q47" s="42">
        <v>0</v>
      </c>
      <c r="S47" s="28"/>
      <c r="T47" s="28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s="2" customFormat="1" x14ac:dyDescent="0.3">
      <c r="A48" s="1"/>
      <c r="B48" s="1"/>
      <c r="C48" s="1"/>
      <c r="E48" s="5" t="s">
        <v>6</v>
      </c>
      <c r="F48" s="23">
        <v>3270420.88</v>
      </c>
      <c r="G48" s="23">
        <v>3163802.3499999889</v>
      </c>
      <c r="H48" s="23">
        <v>3017591.4699999979</v>
      </c>
      <c r="I48" s="23">
        <v>2920828.3599999952</v>
      </c>
      <c r="J48" s="23">
        <v>2834191.1799999881</v>
      </c>
      <c r="K48" s="23">
        <v>1682803.0099999988</v>
      </c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S48" s="28"/>
      <c r="T48" s="28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s="2" customFormat="1" x14ac:dyDescent="0.3">
      <c r="A49" s="1"/>
      <c r="B49" s="1"/>
      <c r="C49" s="1"/>
      <c r="E49" s="5" t="s">
        <v>5</v>
      </c>
      <c r="F49" s="23">
        <v>2962640.3</v>
      </c>
      <c r="G49" s="23">
        <v>2820709.489999989</v>
      </c>
      <c r="H49" s="23">
        <v>2718474.0799999982</v>
      </c>
      <c r="I49" s="23">
        <v>2644373.9899999951</v>
      </c>
      <c r="J49" s="23">
        <v>2601223.6099999882</v>
      </c>
      <c r="K49" s="23">
        <v>778010.02999999956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S49" s="28"/>
      <c r="T49" s="28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s="2" customFormat="1" x14ac:dyDescent="0.3">
      <c r="A50" s="1"/>
      <c r="B50" s="1"/>
      <c r="C50" s="1"/>
      <c r="E50" s="5" t="s">
        <v>49</v>
      </c>
      <c r="F50" s="10">
        <f>IFERROR((1-F49/F48),0)</f>
        <v>9.4110388629857322E-2</v>
      </c>
      <c r="G50" s="10">
        <f>IFERROR((1-G49/G48),0)</f>
        <v>0.10844320284419828</v>
      </c>
      <c r="H50" s="10">
        <f>IFERROR((1-H49/H48),0)</f>
        <v>9.9124547830193865E-2</v>
      </c>
      <c r="I50" s="10">
        <f>IFERROR((1-I49/I48),0)</f>
        <v>9.4649303528400619E-2</v>
      </c>
      <c r="J50" s="10">
        <f>IFERROR((1-J49/J48),0)</f>
        <v>8.2198960904253715E-2</v>
      </c>
      <c r="K50" s="10">
        <f>IFERROR((1-K49/K48),0)</f>
        <v>0.53767016972473791</v>
      </c>
      <c r="L50" s="10">
        <f>IFERROR((1-L49/L48),0)</f>
        <v>0</v>
      </c>
      <c r="M50" s="10">
        <f>IFERROR((1-M49/M48),0)</f>
        <v>0</v>
      </c>
      <c r="N50" s="10">
        <f>IFERROR((1-N49/N48),0)</f>
        <v>0</v>
      </c>
      <c r="O50" s="10">
        <f>IFERROR((1-O49/O48),0)</f>
        <v>0</v>
      </c>
      <c r="P50" s="10">
        <f>IFERROR((1-P49/P48),0)</f>
        <v>0</v>
      </c>
      <c r="Q50" s="10">
        <f>IFERROR((1-Q49/Q48),0)</f>
        <v>0</v>
      </c>
      <c r="S50" s="28"/>
      <c r="T50" s="28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s="2" customFormat="1" x14ac:dyDescent="0.3">
      <c r="A51" s="1"/>
      <c r="B51" s="1"/>
      <c r="C51" s="1"/>
      <c r="E51" s="5" t="s">
        <v>3</v>
      </c>
      <c r="F51" s="8">
        <v>117</v>
      </c>
      <c r="G51" s="8">
        <v>24</v>
      </c>
      <c r="H51" s="8">
        <v>8</v>
      </c>
      <c r="I51" s="8">
        <v>2</v>
      </c>
      <c r="J51" s="8">
        <v>7</v>
      </c>
      <c r="K51" s="8">
        <v>11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S51" s="28"/>
      <c r="T51" s="28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s="2" customFormat="1" x14ac:dyDescent="0.3">
      <c r="A52" s="1"/>
      <c r="B52" s="1"/>
      <c r="C52" s="1"/>
      <c r="E52" s="5" t="s">
        <v>2</v>
      </c>
      <c r="F52" s="24">
        <f>IFERROR(F48/F37,0)</f>
        <v>573.45623005435732</v>
      </c>
      <c r="G52" s="24">
        <f>IFERROR(G48/G37,0)</f>
        <v>575.44604401600384</v>
      </c>
      <c r="H52" s="24">
        <f>IFERROR(H48/H37,0)</f>
        <v>574.99837461890206</v>
      </c>
      <c r="I52" s="24">
        <f>IFERROR(I48/I37,0)</f>
        <v>577.01073883840286</v>
      </c>
      <c r="J52" s="24">
        <f>IFERROR(J48/J37,0)</f>
        <v>580.30122440622199</v>
      </c>
      <c r="K52" s="24">
        <f>IFERROR(K48/K37,0)</f>
        <v>344.97806683066807</v>
      </c>
      <c r="L52" s="24">
        <f>IFERROR(L48/L37,0)</f>
        <v>0</v>
      </c>
      <c r="M52" s="24">
        <f>IFERROR(M48/M37,0)</f>
        <v>0</v>
      </c>
      <c r="N52" s="24">
        <f>IFERROR(N48/N37,0)</f>
        <v>0</v>
      </c>
      <c r="O52" s="24">
        <f>IFERROR(O48/O37,0)</f>
        <v>0</v>
      </c>
      <c r="P52" s="24">
        <f>IFERROR(P48/P37,0)</f>
        <v>0</v>
      </c>
      <c r="Q52" s="24">
        <f>IFERROR(Q48/Q37,0)</f>
        <v>0</v>
      </c>
      <c r="S52" s="28"/>
      <c r="T52" s="28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s="2" customFormat="1" x14ac:dyDescent="0.3">
      <c r="A53" s="1"/>
      <c r="B53" s="1"/>
      <c r="C53" s="1"/>
      <c r="E53" s="5" t="s">
        <v>1</v>
      </c>
      <c r="F53" s="56">
        <v>0</v>
      </c>
      <c r="G53" s="56">
        <v>0</v>
      </c>
      <c r="H53" s="56">
        <v>0</v>
      </c>
      <c r="I53" s="56">
        <v>0</v>
      </c>
      <c r="J53" s="56">
        <v>0</v>
      </c>
      <c r="K53" s="56">
        <v>0</v>
      </c>
      <c r="L53" s="56">
        <v>0</v>
      </c>
      <c r="M53" s="56">
        <v>0</v>
      </c>
      <c r="N53" s="56">
        <v>0</v>
      </c>
      <c r="O53" s="56">
        <v>0</v>
      </c>
      <c r="P53" s="56">
        <v>0</v>
      </c>
      <c r="Q53" s="56">
        <v>0</v>
      </c>
      <c r="S53" s="28"/>
      <c r="T53" s="28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s="2" customFormat="1" x14ac:dyDescent="0.3">
      <c r="A54" s="1"/>
      <c r="B54" s="1"/>
      <c r="C54" s="1"/>
      <c r="E54" s="5" t="s">
        <v>0</v>
      </c>
      <c r="F54" s="56">
        <v>0</v>
      </c>
      <c r="G54" s="56">
        <v>0</v>
      </c>
      <c r="H54" s="56">
        <v>0</v>
      </c>
      <c r="I54" s="56">
        <v>0</v>
      </c>
      <c r="J54" s="56">
        <v>0</v>
      </c>
      <c r="K54" s="56">
        <v>0</v>
      </c>
      <c r="L54" s="56">
        <v>0</v>
      </c>
      <c r="M54" s="56">
        <v>0</v>
      </c>
      <c r="N54" s="56">
        <v>0</v>
      </c>
      <c r="O54" s="56">
        <v>0</v>
      </c>
      <c r="P54" s="56">
        <v>0</v>
      </c>
      <c r="Q54" s="56">
        <v>0</v>
      </c>
      <c r="S54" s="28"/>
      <c r="T54" s="28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s="2" customFormat="1" ht="3" customHeight="1" x14ac:dyDescent="0.3">
      <c r="F55" s="55"/>
      <c r="G55" s="55"/>
      <c r="H55" s="55"/>
      <c r="I55" s="61"/>
      <c r="J55" s="55"/>
      <c r="K55" s="60"/>
      <c r="L55" s="29"/>
      <c r="M55" s="29"/>
      <c r="N55" s="29"/>
      <c r="O55" s="29"/>
      <c r="P55" s="29"/>
      <c r="Q55" s="29"/>
      <c r="S55" s="28"/>
      <c r="T55" s="28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s="2" customFormat="1" hidden="1" x14ac:dyDescent="0.3">
      <c r="F56" s="55">
        <v>40</v>
      </c>
      <c r="G56" s="55">
        <v>20</v>
      </c>
      <c r="H56" s="55">
        <f>G304-H307+H318</f>
        <v>10</v>
      </c>
      <c r="I56" s="55">
        <f>H304-I307+I318</f>
        <v>10</v>
      </c>
      <c r="J56" s="55">
        <f>I304-J307+J318</f>
        <v>10</v>
      </c>
      <c r="K56" s="55">
        <v>15</v>
      </c>
      <c r="L56" s="55">
        <f>K304-L307+L318</f>
        <v>10</v>
      </c>
      <c r="M56" s="55">
        <f>L304-M307+M318</f>
        <v>0</v>
      </c>
      <c r="N56" s="55">
        <f>M304-N307+N318</f>
        <v>0</v>
      </c>
      <c r="O56" s="55">
        <f>N304-O307+O318</f>
        <v>0</v>
      </c>
      <c r="P56" s="55">
        <f>O304-P307+P318</f>
        <v>0</v>
      </c>
      <c r="Q56" s="29"/>
      <c r="S56" s="28"/>
      <c r="T56" s="28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s="2" customFormat="1" hidden="1" x14ac:dyDescent="0.3">
      <c r="F57" s="55">
        <f>F304-F56</f>
        <v>-30</v>
      </c>
      <c r="G57" s="55">
        <v>0</v>
      </c>
      <c r="H57" s="55">
        <f>H304-H56</f>
        <v>0</v>
      </c>
      <c r="I57" s="55">
        <f>I304-I56</f>
        <v>0</v>
      </c>
      <c r="J57" s="55">
        <f>J304-J56</f>
        <v>0</v>
      </c>
      <c r="K57" s="55">
        <v>0</v>
      </c>
      <c r="L57" s="55">
        <f>L304-L56</f>
        <v>-10</v>
      </c>
      <c r="M57" s="55">
        <f>M304-M56</f>
        <v>0</v>
      </c>
      <c r="N57" s="55">
        <f>N304-N56</f>
        <v>0</v>
      </c>
      <c r="O57" s="55">
        <f>O304-O56</f>
        <v>0</v>
      </c>
      <c r="P57" s="55">
        <f>P304-P56</f>
        <v>0</v>
      </c>
      <c r="Q57" s="29"/>
      <c r="S57" s="28"/>
      <c r="T57" s="28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s="2" customFormat="1" hidden="1" x14ac:dyDescent="0.3">
      <c r="F58" s="55">
        <v>352</v>
      </c>
      <c r="G58" s="55" t="e">
        <v>#REF!</v>
      </c>
      <c r="H58" s="55" t="e">
        <f>G188-H191+#REF!</f>
        <v>#REF!</v>
      </c>
      <c r="I58" s="55" t="e">
        <f>H188-I191+#REF!</f>
        <v>#REF!</v>
      </c>
      <c r="J58" s="55" t="e">
        <f>I188-J191+#REF!</f>
        <v>#REF!</v>
      </c>
      <c r="K58" s="55" t="e">
        <v>#REF!</v>
      </c>
      <c r="L58" s="55">
        <f>K188-L191+L202</f>
        <v>189</v>
      </c>
      <c r="M58" s="55">
        <f>L188-M191+M202</f>
        <v>0</v>
      </c>
      <c r="N58" s="55">
        <f>M188-N191+N202</f>
        <v>0</v>
      </c>
      <c r="O58" s="55">
        <f>N188-O191+O202</f>
        <v>0</v>
      </c>
      <c r="P58" s="55">
        <f>O188-P191+P202</f>
        <v>0</v>
      </c>
      <c r="Q58" s="29"/>
      <c r="S58" s="28"/>
      <c r="T58" s="28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s="2" customFormat="1" hidden="1" x14ac:dyDescent="0.3">
      <c r="F59" s="55">
        <f>F188-F58</f>
        <v>-145</v>
      </c>
      <c r="G59" s="55" t="e">
        <v>#REF!</v>
      </c>
      <c r="H59" s="55" t="e">
        <f>H188-H58</f>
        <v>#REF!</v>
      </c>
      <c r="I59" s="55" t="e">
        <f>I188-I58</f>
        <v>#REF!</v>
      </c>
      <c r="J59" s="55" t="e">
        <f>J188-J58</f>
        <v>#REF!</v>
      </c>
      <c r="K59" s="55" t="e">
        <v>#REF!</v>
      </c>
      <c r="L59" s="55">
        <f>L188-L58</f>
        <v>-189</v>
      </c>
      <c r="M59" s="55">
        <f>M188-M58</f>
        <v>0</v>
      </c>
      <c r="N59" s="55">
        <f>N188-N58</f>
        <v>0</v>
      </c>
      <c r="O59" s="55">
        <f>O188-O58</f>
        <v>0</v>
      </c>
      <c r="P59" s="55">
        <f>P188-P58</f>
        <v>0</v>
      </c>
      <c r="Q59" s="29"/>
      <c r="S59" s="28"/>
      <c r="T59" s="28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s="2" customFormat="1" x14ac:dyDescent="0.3">
      <c r="A60" s="1"/>
      <c r="B60" s="1"/>
      <c r="C60" s="1"/>
      <c r="E60" s="54" t="s">
        <v>33</v>
      </c>
      <c r="F60" s="54" t="s">
        <v>32</v>
      </c>
      <c r="G60" s="54" t="s">
        <v>31</v>
      </c>
      <c r="H60" s="54" t="s">
        <v>30</v>
      </c>
      <c r="I60" s="54" t="s">
        <v>29</v>
      </c>
      <c r="J60" s="54" t="s">
        <v>28</v>
      </c>
      <c r="K60" s="54" t="s">
        <v>27</v>
      </c>
      <c r="L60" s="54" t="s">
        <v>26</v>
      </c>
      <c r="M60" s="54" t="s">
        <v>25</v>
      </c>
      <c r="N60" s="54" t="s">
        <v>24</v>
      </c>
      <c r="O60" s="54" t="s">
        <v>23</v>
      </c>
      <c r="P60" s="54" t="s">
        <v>22</v>
      </c>
      <c r="Q60" s="54" t="s">
        <v>21</v>
      </c>
      <c r="S60" s="28"/>
      <c r="T60" s="28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x14ac:dyDescent="0.3">
      <c r="E61" s="5" t="s">
        <v>20</v>
      </c>
      <c r="F61" s="8">
        <v>0</v>
      </c>
      <c r="G61" s="8">
        <v>0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</row>
    <row r="62" spans="1:107" s="2" customFormat="1" x14ac:dyDescent="0.3">
      <c r="A62" s="1"/>
      <c r="B62" s="1"/>
      <c r="C62" s="1"/>
      <c r="E62" s="5" t="s">
        <v>19</v>
      </c>
      <c r="F62" s="8">
        <f>SUM(F63:F64)</f>
        <v>31</v>
      </c>
      <c r="G62" s="8">
        <f>SUM(G63:G64)</f>
        <v>29</v>
      </c>
      <c r="H62" s="8">
        <f>SUM(H63:H64)</f>
        <v>29</v>
      </c>
      <c r="I62" s="8">
        <f>SUM(I63:I64)</f>
        <v>29</v>
      </c>
      <c r="J62" s="8">
        <f>SUM(J63:J64)</f>
        <v>28</v>
      </c>
      <c r="K62" s="8">
        <f>SUM(K63:K64)</f>
        <v>29</v>
      </c>
      <c r="L62" s="8">
        <f>SUM(L63:L64)</f>
        <v>0</v>
      </c>
      <c r="M62" s="8">
        <f>SUM(M63:M64)</f>
        <v>0</v>
      </c>
      <c r="N62" s="8">
        <f>SUM(N63:N64)</f>
        <v>0</v>
      </c>
      <c r="O62" s="8">
        <f>SUM(O63:O64)</f>
        <v>0</v>
      </c>
      <c r="P62" s="8">
        <f>SUM(P63:P64)</f>
        <v>0</v>
      </c>
      <c r="Q62" s="8">
        <f>SUM(Q63:Q64)</f>
        <v>0</v>
      </c>
      <c r="S62" s="28"/>
      <c r="T62" s="28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s="2" customFormat="1" x14ac:dyDescent="0.3">
      <c r="A63" s="1"/>
      <c r="B63" s="1"/>
      <c r="C63" s="1"/>
      <c r="E63" s="14" t="s">
        <v>41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S63" s="28"/>
      <c r="T63" s="28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s="2" customFormat="1" x14ac:dyDescent="0.3">
      <c r="A64" s="1"/>
      <c r="B64" s="1"/>
      <c r="C64" s="1"/>
      <c r="E64" s="14" t="s">
        <v>40</v>
      </c>
      <c r="F64" s="8">
        <v>31</v>
      </c>
      <c r="G64" s="8">
        <v>29</v>
      </c>
      <c r="H64" s="8">
        <v>29</v>
      </c>
      <c r="I64" s="8">
        <v>29</v>
      </c>
      <c r="J64" s="8">
        <v>28</v>
      </c>
      <c r="K64" s="8">
        <v>29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S64" s="28"/>
      <c r="T64" s="28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s="2" customFormat="1" x14ac:dyDescent="0.3">
      <c r="A65" s="1"/>
      <c r="B65" s="1"/>
      <c r="C65" s="1"/>
      <c r="E65" s="5" t="s">
        <v>39</v>
      </c>
      <c r="F65" s="8">
        <f>SUM(F68:F72)</f>
        <v>0</v>
      </c>
      <c r="G65" s="8">
        <f>SUM(G68:G72)</f>
        <v>2</v>
      </c>
      <c r="H65" s="8">
        <f>SUM(H68:H72)</f>
        <v>0</v>
      </c>
      <c r="I65" s="8">
        <f>SUM(I68:I72)</f>
        <v>0</v>
      </c>
      <c r="J65" s="8">
        <f>SUM(J68:J72)</f>
        <v>0</v>
      </c>
      <c r="K65" s="8">
        <f>SUM(K68:K72)</f>
        <v>0</v>
      </c>
      <c r="L65" s="8">
        <f>SUM(L68:L72)</f>
        <v>0</v>
      </c>
      <c r="M65" s="8">
        <f>SUM(M68:M72)</f>
        <v>0</v>
      </c>
      <c r="N65" s="8">
        <f>SUM(N68:N72)</f>
        <v>0</v>
      </c>
      <c r="O65" s="8">
        <f>SUM(O68:O72)</f>
        <v>0</v>
      </c>
      <c r="P65" s="8">
        <f>SUM(P68:P72)</f>
        <v>0</v>
      </c>
      <c r="Q65" s="8">
        <f>SUM(Q68:Q72)</f>
        <v>0</v>
      </c>
      <c r="S65" s="28"/>
      <c r="T65" s="28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s="2" customFormat="1" x14ac:dyDescent="0.3">
      <c r="A66" s="1"/>
      <c r="B66" s="1"/>
      <c r="C66" s="1"/>
      <c r="E66" s="5" t="s">
        <v>15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S66" s="28"/>
      <c r="T66" s="28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s="2" customFormat="1" x14ac:dyDescent="0.3">
      <c r="A67" s="1"/>
      <c r="B67" s="1"/>
      <c r="C67" s="1"/>
      <c r="E67" s="5" t="s">
        <v>14</v>
      </c>
      <c r="F67" s="10">
        <f>IFERROR(F65/'Relatório Indicadores 25'!Q62,0)</f>
        <v>0</v>
      </c>
      <c r="G67" s="10">
        <f>IFERROR(G65/F62,0)</f>
        <v>6.4516129032258063E-2</v>
      </c>
      <c r="H67" s="10">
        <f>IFERROR(H65/G62,0)</f>
        <v>0</v>
      </c>
      <c r="I67" s="10">
        <f>IFERROR(I65/H62,0)</f>
        <v>0</v>
      </c>
      <c r="J67" s="10">
        <f>IFERROR(J65/I62,0)</f>
        <v>0</v>
      </c>
      <c r="K67" s="10">
        <f>IFERROR(K65/J62,0)</f>
        <v>0</v>
      </c>
      <c r="L67" s="10">
        <f>IFERROR(L65/K62,0)</f>
        <v>0</v>
      </c>
      <c r="M67" s="10">
        <f>IFERROR(M65/L62,0)</f>
        <v>0</v>
      </c>
      <c r="N67" s="10">
        <f>IFERROR(N65/M62,0)</f>
        <v>0</v>
      </c>
      <c r="O67" s="10">
        <f>IFERROR(O65/N62,0)</f>
        <v>0</v>
      </c>
      <c r="P67" s="10">
        <f>IFERROR(P65/O62,0)</f>
        <v>0</v>
      </c>
      <c r="Q67" s="10">
        <f>IFERROR(Q65/P62,0)</f>
        <v>0</v>
      </c>
      <c r="S67" s="28"/>
      <c r="T67" s="28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s="2" customFormat="1" x14ac:dyDescent="0.3">
      <c r="A68" s="1"/>
      <c r="B68" s="1"/>
      <c r="C68" s="1"/>
      <c r="E68" s="5" t="s">
        <v>13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S68" s="28"/>
      <c r="T68" s="28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s="2" customFormat="1" x14ac:dyDescent="0.3">
      <c r="A69" s="1"/>
      <c r="B69" s="1"/>
      <c r="C69" s="1"/>
      <c r="E69" s="5" t="s">
        <v>12</v>
      </c>
      <c r="F69" s="8">
        <v>0</v>
      </c>
      <c r="G69" s="8">
        <v>2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0</v>
      </c>
      <c r="N69" s="8">
        <v>0</v>
      </c>
      <c r="O69" s="8">
        <v>0</v>
      </c>
      <c r="P69" s="8">
        <v>0</v>
      </c>
      <c r="Q69" s="8">
        <v>0</v>
      </c>
      <c r="S69" s="28"/>
      <c r="T69" s="28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s="2" customFormat="1" x14ac:dyDescent="0.3">
      <c r="A70" s="1"/>
      <c r="B70" s="1"/>
      <c r="C70" s="1"/>
      <c r="E70" s="5" t="s">
        <v>11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S70" s="28"/>
      <c r="T70" s="28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s="2" customFormat="1" x14ac:dyDescent="0.3">
      <c r="A71" s="1"/>
      <c r="B71" s="1"/>
      <c r="C71" s="1"/>
      <c r="E71" s="5" t="s">
        <v>50</v>
      </c>
      <c r="F71" s="42">
        <v>0</v>
      </c>
      <c r="G71" s="42">
        <v>0</v>
      </c>
      <c r="H71" s="42">
        <v>0</v>
      </c>
      <c r="I71" s="42">
        <v>0</v>
      </c>
      <c r="J71" s="42">
        <v>0</v>
      </c>
      <c r="K71" s="42">
        <v>0</v>
      </c>
      <c r="L71" s="42">
        <v>0</v>
      </c>
      <c r="M71" s="42">
        <v>0</v>
      </c>
      <c r="N71" s="42">
        <v>0</v>
      </c>
      <c r="O71" s="42">
        <v>0</v>
      </c>
      <c r="P71" s="42">
        <v>0</v>
      </c>
      <c r="Q71" s="42">
        <v>0</v>
      </c>
      <c r="S71" s="28"/>
      <c r="T71" s="28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s="2" customFormat="1" x14ac:dyDescent="0.3">
      <c r="A72" s="1"/>
      <c r="B72" s="1"/>
      <c r="C72" s="1"/>
      <c r="E72" s="5" t="s">
        <v>46</v>
      </c>
      <c r="F72" s="42">
        <v>0</v>
      </c>
      <c r="G72" s="42">
        <v>0</v>
      </c>
      <c r="H72" s="42">
        <v>0</v>
      </c>
      <c r="I72" s="42">
        <v>0</v>
      </c>
      <c r="J72" s="42">
        <v>0</v>
      </c>
      <c r="K72" s="42">
        <v>0</v>
      </c>
      <c r="L72" s="42">
        <v>0</v>
      </c>
      <c r="M72" s="42">
        <v>0</v>
      </c>
      <c r="N72" s="42">
        <v>0</v>
      </c>
      <c r="O72" s="42">
        <v>0</v>
      </c>
      <c r="P72" s="42">
        <v>0</v>
      </c>
      <c r="Q72" s="42">
        <v>0</v>
      </c>
      <c r="S72" s="28"/>
      <c r="T72" s="28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s="2" customFormat="1" x14ac:dyDescent="0.3">
      <c r="A73" s="1"/>
      <c r="B73" s="1"/>
      <c r="C73" s="1"/>
      <c r="E73" s="5" t="s">
        <v>6</v>
      </c>
      <c r="F73" s="23">
        <v>48858.45</v>
      </c>
      <c r="G73" s="23">
        <v>49041.590000000004</v>
      </c>
      <c r="H73" s="23">
        <v>48570.32</v>
      </c>
      <c r="I73" s="23">
        <v>48674.17</v>
      </c>
      <c r="J73" s="23">
        <v>43594.74</v>
      </c>
      <c r="K73" s="23">
        <v>46163.81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S73" s="28"/>
      <c r="T73" s="28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s="2" customFormat="1" x14ac:dyDescent="0.3">
      <c r="A74" s="1"/>
      <c r="B74" s="1"/>
      <c r="C74" s="1"/>
      <c r="E74" s="5" t="s">
        <v>5</v>
      </c>
      <c r="F74" s="23">
        <v>48858.45</v>
      </c>
      <c r="G74" s="23">
        <v>49041.590000000004</v>
      </c>
      <c r="H74" s="23">
        <v>48570.32</v>
      </c>
      <c r="I74" s="23">
        <v>48674.17</v>
      </c>
      <c r="J74" s="23">
        <v>43594.74</v>
      </c>
      <c r="K74" s="23">
        <v>8972.69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S74" s="28"/>
      <c r="T74" s="28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s="2" customFormat="1" x14ac:dyDescent="0.3">
      <c r="A75" s="1"/>
      <c r="B75" s="1"/>
      <c r="C75" s="1"/>
      <c r="E75" s="5" t="s">
        <v>49</v>
      </c>
      <c r="F75" s="10">
        <f>IFERROR((1-F74/F73),0)</f>
        <v>0</v>
      </c>
      <c r="G75" s="10">
        <f>IFERROR((1-G74/G73),0)</f>
        <v>0</v>
      </c>
      <c r="H75" s="10">
        <f>IFERROR((1-H74/H73),0)</f>
        <v>0</v>
      </c>
      <c r="I75" s="10">
        <f>IFERROR((1-I74/I73),0)</f>
        <v>0</v>
      </c>
      <c r="J75" s="10">
        <f>IFERROR((1-J74/J73),0)</f>
        <v>0</v>
      </c>
      <c r="K75" s="10">
        <f>IFERROR((1-K74/K73),0)</f>
        <v>0.80563367711633849</v>
      </c>
      <c r="L75" s="10">
        <f>IFERROR((1-L74/L73),0)</f>
        <v>0</v>
      </c>
      <c r="M75" s="10">
        <f>IFERROR((1-M74/M73),0)</f>
        <v>0</v>
      </c>
      <c r="N75" s="10">
        <f>IFERROR((1-N74/N73),0)</f>
        <v>0</v>
      </c>
      <c r="O75" s="10">
        <f>IFERROR((1-O74/O73),0)</f>
        <v>0</v>
      </c>
      <c r="P75" s="10">
        <f>IFERROR((1-P74/P73),0)</f>
        <v>0</v>
      </c>
      <c r="Q75" s="10">
        <f>IFERROR((1-Q74/Q73),0)</f>
        <v>0</v>
      </c>
      <c r="S75" s="28"/>
      <c r="T75" s="28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s="2" customFormat="1" x14ac:dyDescent="0.3">
      <c r="A76" s="1"/>
      <c r="B76" s="1"/>
      <c r="C76" s="1"/>
      <c r="E76" s="5" t="s">
        <v>3</v>
      </c>
      <c r="F76" s="8">
        <v>1</v>
      </c>
      <c r="G76" s="8">
        <v>0</v>
      </c>
      <c r="H76" s="8">
        <v>0</v>
      </c>
      <c r="I76" s="8">
        <v>0</v>
      </c>
      <c r="J76" s="8">
        <v>2</v>
      </c>
      <c r="K76" s="8">
        <v>1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S76" s="28"/>
      <c r="T76" s="28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s="2" customFormat="1" x14ac:dyDescent="0.3">
      <c r="A77" s="1"/>
      <c r="B77" s="1"/>
      <c r="C77" s="1"/>
      <c r="E77" s="5" t="s">
        <v>2</v>
      </c>
      <c r="F77" s="24">
        <f>IFERROR(F73/F62,0)</f>
        <v>1576.0790322580644</v>
      </c>
      <c r="G77" s="24">
        <f>IFERROR(G73/G62,0)</f>
        <v>1691.0893103448277</v>
      </c>
      <c r="H77" s="24">
        <f>IFERROR(H73/H62,0)</f>
        <v>1674.8386206896553</v>
      </c>
      <c r="I77" s="24">
        <f>IFERROR(I73/I62,0)</f>
        <v>1678.4196551724137</v>
      </c>
      <c r="J77" s="24">
        <f>IFERROR(J73/J62,0)</f>
        <v>1556.9549999999999</v>
      </c>
      <c r="K77" s="24">
        <f>IFERROR(K73/K62,0)</f>
        <v>1591.8555172413792</v>
      </c>
      <c r="L77" s="24">
        <f>IFERROR(L73/L62,0)</f>
        <v>0</v>
      </c>
      <c r="M77" s="24">
        <f>IFERROR(M73/M62,0)</f>
        <v>0</v>
      </c>
      <c r="N77" s="24">
        <f>IFERROR(N73/N62,0)</f>
        <v>0</v>
      </c>
      <c r="O77" s="24">
        <f>IFERROR(O73/O62,0)</f>
        <v>0</v>
      </c>
      <c r="P77" s="24">
        <f>IFERROR(P73/P62,0)</f>
        <v>0</v>
      </c>
      <c r="Q77" s="24">
        <f>IFERROR(Q73/Q62,0)</f>
        <v>0</v>
      </c>
      <c r="S77" s="28"/>
      <c r="T77" s="28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s="2" customFormat="1" x14ac:dyDescent="0.3">
      <c r="A78" s="1"/>
      <c r="B78" s="1"/>
      <c r="C78" s="1"/>
      <c r="E78" s="5" t="s">
        <v>1</v>
      </c>
      <c r="F78" s="56">
        <v>0</v>
      </c>
      <c r="G78" s="56">
        <v>0</v>
      </c>
      <c r="H78" s="56">
        <v>0</v>
      </c>
      <c r="I78" s="56">
        <v>0</v>
      </c>
      <c r="J78" s="56">
        <v>0</v>
      </c>
      <c r="K78" s="56">
        <v>0</v>
      </c>
      <c r="L78" s="56">
        <v>0</v>
      </c>
      <c r="M78" s="56">
        <v>0</v>
      </c>
      <c r="N78" s="56">
        <v>0</v>
      </c>
      <c r="O78" s="56">
        <v>0</v>
      </c>
      <c r="P78" s="56">
        <v>0</v>
      </c>
      <c r="Q78" s="56">
        <v>0</v>
      </c>
      <c r="S78" s="28"/>
      <c r="T78" s="28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s="2" customFormat="1" x14ac:dyDescent="0.3">
      <c r="A79" s="1"/>
      <c r="B79" s="1"/>
      <c r="C79" s="1"/>
      <c r="E79" s="5" t="s">
        <v>0</v>
      </c>
      <c r="F79" s="56">
        <v>0</v>
      </c>
      <c r="G79" s="56">
        <v>0</v>
      </c>
      <c r="H79" s="56">
        <v>0</v>
      </c>
      <c r="I79" s="56">
        <v>0</v>
      </c>
      <c r="J79" s="56">
        <v>0</v>
      </c>
      <c r="K79" s="56">
        <v>0</v>
      </c>
      <c r="L79" s="56">
        <v>0</v>
      </c>
      <c r="M79" s="56">
        <v>0</v>
      </c>
      <c r="N79" s="56">
        <v>0</v>
      </c>
      <c r="O79" s="56">
        <v>0</v>
      </c>
      <c r="P79" s="56">
        <v>0</v>
      </c>
      <c r="Q79" s="56">
        <v>0</v>
      </c>
      <c r="S79" s="28"/>
      <c r="T79" s="28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s="2" customFormat="1" ht="3" customHeight="1" x14ac:dyDescent="0.3">
      <c r="F80" s="55"/>
      <c r="G80" s="55"/>
      <c r="H80" s="55"/>
      <c r="I80" s="61"/>
      <c r="J80" s="55"/>
      <c r="K80" s="60"/>
      <c r="L80" s="29"/>
      <c r="M80" s="29"/>
      <c r="N80" s="29"/>
      <c r="O80" s="29"/>
      <c r="P80" s="29"/>
      <c r="Q80" s="29"/>
      <c r="S80" s="28"/>
      <c r="T80" s="28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s="2" customFormat="1" x14ac:dyDescent="0.3">
      <c r="A81" s="1"/>
      <c r="B81" s="1"/>
      <c r="C81" s="1"/>
      <c r="E81" s="54" t="s">
        <v>33</v>
      </c>
      <c r="F81" s="54" t="s">
        <v>32</v>
      </c>
      <c r="G81" s="54" t="s">
        <v>31</v>
      </c>
      <c r="H81" s="54" t="s">
        <v>30</v>
      </c>
      <c r="I81" s="54" t="s">
        <v>29</v>
      </c>
      <c r="J81" s="54" t="s">
        <v>28</v>
      </c>
      <c r="K81" s="54" t="s">
        <v>27</v>
      </c>
      <c r="L81" s="54" t="s">
        <v>26</v>
      </c>
      <c r="M81" s="54" t="s">
        <v>25</v>
      </c>
      <c r="N81" s="54" t="s">
        <v>24</v>
      </c>
      <c r="O81" s="54" t="s">
        <v>23</v>
      </c>
      <c r="P81" s="54" t="s">
        <v>22</v>
      </c>
      <c r="Q81" s="54" t="s">
        <v>21</v>
      </c>
      <c r="S81" s="28"/>
      <c r="T81" s="28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x14ac:dyDescent="0.3">
      <c r="E82" s="5" t="s">
        <v>20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</row>
    <row r="83" spans="1:107" s="2" customFormat="1" x14ac:dyDescent="0.3">
      <c r="A83" s="1"/>
      <c r="B83" s="1"/>
      <c r="C83" s="1"/>
      <c r="E83" s="5" t="s">
        <v>19</v>
      </c>
      <c r="F83" s="8">
        <f>SUM(F84:F85)</f>
        <v>28</v>
      </c>
      <c r="G83" s="8">
        <f>SUM(G84:G85)</f>
        <v>28</v>
      </c>
      <c r="H83" s="8">
        <f>SUM(H84:H85)</f>
        <v>27</v>
      </c>
      <c r="I83" s="8">
        <f>SUM(I84:I85)</f>
        <v>29</v>
      </c>
      <c r="J83" s="8">
        <f>SUM(J84:J85)</f>
        <v>34</v>
      </c>
      <c r="K83" s="8">
        <f>SUM(K84:K85)</f>
        <v>35</v>
      </c>
      <c r="L83" s="8">
        <f>SUM(L84:L85)</f>
        <v>0</v>
      </c>
      <c r="M83" s="8">
        <f>SUM(M84:M85)</f>
        <v>0</v>
      </c>
      <c r="N83" s="8">
        <f>SUM(N84:N85)</f>
        <v>0</v>
      </c>
      <c r="O83" s="8">
        <f>SUM(O84:O85)</f>
        <v>0</v>
      </c>
      <c r="P83" s="8">
        <f>SUM(P84:P85)</f>
        <v>0</v>
      </c>
      <c r="Q83" s="8">
        <f>SUM(Q84:Q85)</f>
        <v>0</v>
      </c>
      <c r="S83" s="28"/>
      <c r="T83" s="28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s="2" customFormat="1" x14ac:dyDescent="0.3">
      <c r="A84" s="1"/>
      <c r="B84" s="1"/>
      <c r="C84" s="1"/>
      <c r="E84" s="14" t="s">
        <v>41</v>
      </c>
      <c r="F84" s="8">
        <v>0</v>
      </c>
      <c r="G84" s="8">
        <v>0</v>
      </c>
      <c r="H84" s="8">
        <v>0</v>
      </c>
      <c r="I84" s="8">
        <v>0</v>
      </c>
      <c r="J84" s="8">
        <v>0</v>
      </c>
      <c r="K84" s="8">
        <v>0</v>
      </c>
      <c r="L84" s="8">
        <v>0</v>
      </c>
      <c r="M84" s="8">
        <v>0</v>
      </c>
      <c r="N84" s="8">
        <v>0</v>
      </c>
      <c r="O84" s="8">
        <v>0</v>
      </c>
      <c r="P84" s="8">
        <v>0</v>
      </c>
      <c r="Q84" s="8">
        <v>0</v>
      </c>
      <c r="S84" s="28"/>
      <c r="T84" s="28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s="2" customFormat="1" x14ac:dyDescent="0.3">
      <c r="A85" s="1"/>
      <c r="B85" s="1"/>
      <c r="C85" s="1"/>
      <c r="E85" s="14" t="s">
        <v>40</v>
      </c>
      <c r="F85" s="8">
        <v>28</v>
      </c>
      <c r="G85" s="8">
        <v>28</v>
      </c>
      <c r="H85" s="8">
        <v>27</v>
      </c>
      <c r="I85" s="8">
        <v>29</v>
      </c>
      <c r="J85" s="8">
        <v>34</v>
      </c>
      <c r="K85" s="8">
        <v>35</v>
      </c>
      <c r="L85" s="8">
        <v>0</v>
      </c>
      <c r="M85" s="8">
        <v>0</v>
      </c>
      <c r="N85" s="8">
        <v>0</v>
      </c>
      <c r="O85" s="8">
        <v>0</v>
      </c>
      <c r="P85" s="8">
        <v>0</v>
      </c>
      <c r="Q85" s="8">
        <v>0</v>
      </c>
      <c r="S85" s="28"/>
      <c r="T85" s="28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s="2" customFormat="1" x14ac:dyDescent="0.3">
      <c r="A86" s="1"/>
      <c r="B86" s="1"/>
      <c r="C86" s="1"/>
      <c r="E86" s="5" t="s">
        <v>39</v>
      </c>
      <c r="F86" s="8">
        <f>SUM(F89:F93)</f>
        <v>0</v>
      </c>
      <c r="G86" s="8">
        <f>SUM(G89:G93)</f>
        <v>0</v>
      </c>
      <c r="H86" s="8">
        <f>SUM(H89:H93)</f>
        <v>3</v>
      </c>
      <c r="I86" s="8">
        <f>SUM(I89:I93)</f>
        <v>0</v>
      </c>
      <c r="J86" s="8">
        <f>SUM(J89:J93)</f>
        <v>0</v>
      </c>
      <c r="K86" s="8">
        <f>SUM(K89:K93)</f>
        <v>0</v>
      </c>
      <c r="L86" s="8">
        <f>SUM(L89:L93)</f>
        <v>0</v>
      </c>
      <c r="M86" s="8">
        <f>SUM(M89:M93)</f>
        <v>0</v>
      </c>
      <c r="N86" s="8">
        <f>SUM(N89:N93)</f>
        <v>0</v>
      </c>
      <c r="O86" s="8">
        <f>SUM(O89:O93)</f>
        <v>0</v>
      </c>
      <c r="P86" s="8">
        <f>SUM(P89:P93)</f>
        <v>0</v>
      </c>
      <c r="Q86" s="8">
        <f>SUM(Q89:Q93)</f>
        <v>0</v>
      </c>
      <c r="S86" s="28"/>
      <c r="T86" s="28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s="2" customFormat="1" x14ac:dyDescent="0.3">
      <c r="A87" s="1"/>
      <c r="B87" s="1"/>
      <c r="C87" s="1"/>
      <c r="E87" s="5" t="s">
        <v>15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S87" s="28"/>
      <c r="T87" s="28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s="2" customFormat="1" x14ac:dyDescent="0.3">
      <c r="A88" s="1"/>
      <c r="B88" s="1"/>
      <c r="C88" s="1"/>
      <c r="E88" s="5" t="s">
        <v>14</v>
      </c>
      <c r="F88" s="10">
        <f>IFERROR(F86/'Relatório Indicadores 25'!Q83,0)</f>
        <v>0</v>
      </c>
      <c r="G88" s="10">
        <f>IFERROR(G86/F83,0)</f>
        <v>0</v>
      </c>
      <c r="H88" s="10">
        <f>IFERROR(H86/G83,0)</f>
        <v>0.10714285714285714</v>
      </c>
      <c r="I88" s="10">
        <f>IFERROR(I86/H83,0)</f>
        <v>0</v>
      </c>
      <c r="J88" s="10">
        <f>IFERROR(J86/I83,0)</f>
        <v>0</v>
      </c>
      <c r="K88" s="10">
        <f>IFERROR(K86/J83,0)</f>
        <v>0</v>
      </c>
      <c r="L88" s="10">
        <f>IFERROR(L86/K83,0)</f>
        <v>0</v>
      </c>
      <c r="M88" s="10">
        <f>IFERROR(M86/L83,0)</f>
        <v>0</v>
      </c>
      <c r="N88" s="10">
        <f>IFERROR(N86/M83,0)</f>
        <v>0</v>
      </c>
      <c r="O88" s="10">
        <f>IFERROR(O86/N83,0)</f>
        <v>0</v>
      </c>
      <c r="P88" s="10">
        <f>IFERROR(P86/O83,0)</f>
        <v>0</v>
      </c>
      <c r="Q88" s="10">
        <f>IFERROR(Q86/P83,0)</f>
        <v>0</v>
      </c>
      <c r="S88" s="28"/>
      <c r="T88" s="28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s="2" customFormat="1" x14ac:dyDescent="0.3">
      <c r="A89" s="1"/>
      <c r="B89" s="1"/>
      <c r="C89" s="1"/>
      <c r="E89" s="5" t="s">
        <v>13</v>
      </c>
      <c r="F89" s="8">
        <v>0</v>
      </c>
      <c r="G89" s="8">
        <v>0</v>
      </c>
      <c r="H89" s="8">
        <v>2</v>
      </c>
      <c r="I89" s="8">
        <v>0</v>
      </c>
      <c r="J89" s="8">
        <v>0</v>
      </c>
      <c r="K89" s="8">
        <v>0</v>
      </c>
      <c r="L89" s="8">
        <v>0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S89" s="28"/>
      <c r="T89" s="28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s="2" customFormat="1" x14ac:dyDescent="0.3">
      <c r="A90" s="1"/>
      <c r="B90" s="1"/>
      <c r="C90" s="1"/>
      <c r="E90" s="5" t="s">
        <v>12</v>
      </c>
      <c r="F90" s="8">
        <v>0</v>
      </c>
      <c r="G90" s="8">
        <v>0</v>
      </c>
      <c r="H90" s="8">
        <v>1</v>
      </c>
      <c r="I90" s="8">
        <v>0</v>
      </c>
      <c r="J90" s="8">
        <v>0</v>
      </c>
      <c r="K90" s="8">
        <v>0</v>
      </c>
      <c r="L90" s="8">
        <v>0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S90" s="28"/>
      <c r="T90" s="28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s="2" customFormat="1" x14ac:dyDescent="0.3">
      <c r="A91" s="1"/>
      <c r="B91" s="1"/>
      <c r="C91" s="1"/>
      <c r="E91" s="5" t="s">
        <v>11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S91" s="28"/>
      <c r="T91" s="28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s="2" customFormat="1" x14ac:dyDescent="0.3">
      <c r="A92" s="1"/>
      <c r="B92" s="1"/>
      <c r="C92" s="1"/>
      <c r="E92" s="5" t="s">
        <v>50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S92" s="28"/>
      <c r="T92" s="28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s="2" customFormat="1" x14ac:dyDescent="0.3">
      <c r="A93" s="1"/>
      <c r="B93" s="1"/>
      <c r="C93" s="1"/>
      <c r="E93" s="5" t="s">
        <v>46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S93" s="28"/>
      <c r="T93" s="28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s="2" customFormat="1" x14ac:dyDescent="0.3">
      <c r="A94" s="1"/>
      <c r="B94" s="1"/>
      <c r="C94" s="1"/>
      <c r="E94" s="5" t="s">
        <v>6</v>
      </c>
      <c r="F94" s="23">
        <v>25537.87</v>
      </c>
      <c r="G94" s="23">
        <v>25606.45</v>
      </c>
      <c r="H94" s="23">
        <v>26141.559999999998</v>
      </c>
      <c r="I94" s="23">
        <v>27443.799999999996</v>
      </c>
      <c r="J94" s="23">
        <v>32265.479999999992</v>
      </c>
      <c r="K94" s="23">
        <v>33166.430000000008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S94" s="28"/>
      <c r="T94" s="28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s="2" customFormat="1" x14ac:dyDescent="0.3">
      <c r="A95" s="1"/>
      <c r="B95" s="1"/>
      <c r="C95" s="1"/>
      <c r="E95" s="5" t="s">
        <v>5</v>
      </c>
      <c r="F95" s="23">
        <v>23571.969999999998</v>
      </c>
      <c r="G95" s="23">
        <v>23640.55</v>
      </c>
      <c r="H95" s="23">
        <v>26141.559999999998</v>
      </c>
      <c r="I95" s="23">
        <v>27443.799999999996</v>
      </c>
      <c r="J95" s="23">
        <v>32265.479999999992</v>
      </c>
      <c r="K95" s="23">
        <v>9348.86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S95" s="28"/>
      <c r="T95" s="28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s="2" customFormat="1" x14ac:dyDescent="0.3">
      <c r="A96" s="1"/>
      <c r="B96" s="1"/>
      <c r="C96" s="1"/>
      <c r="E96" s="5" t="s">
        <v>49</v>
      </c>
      <c r="F96" s="10">
        <f>IFERROR((1-F95/F94),0)</f>
        <v>7.6979795104290316E-2</v>
      </c>
      <c r="G96" s="10">
        <f>IFERROR((1-G95/G94),0)</f>
        <v>7.6773625395164191E-2</v>
      </c>
      <c r="H96" s="10">
        <f>IFERROR((1-H95/H94),0)</f>
        <v>0</v>
      </c>
      <c r="I96" s="10">
        <f>IFERROR((1-I95/I94),0)</f>
        <v>0</v>
      </c>
      <c r="J96" s="10">
        <f>IFERROR((1-J95/J94),0)</f>
        <v>0</v>
      </c>
      <c r="K96" s="10">
        <f>IFERROR((1-K95/K94),0)</f>
        <v>0.71812281273564871</v>
      </c>
      <c r="L96" s="10">
        <f>IFERROR((1-L95/L94),0)</f>
        <v>0</v>
      </c>
      <c r="M96" s="10">
        <f>IFERROR((1-M95/M94),0)</f>
        <v>0</v>
      </c>
      <c r="N96" s="10">
        <f>IFERROR((1-N95/N94),0)</f>
        <v>0</v>
      </c>
      <c r="O96" s="10">
        <f>IFERROR((1-O95/O94),0)</f>
        <v>0</v>
      </c>
      <c r="P96" s="10">
        <f>IFERROR((1-P95/P94),0)</f>
        <v>0</v>
      </c>
      <c r="Q96" s="10">
        <f>IFERROR((1-Q95/Q94),0)</f>
        <v>0</v>
      </c>
      <c r="S96" s="28"/>
      <c r="T96" s="28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x14ac:dyDescent="0.3">
      <c r="E97" s="5" t="s">
        <v>3</v>
      </c>
      <c r="F97" s="8">
        <v>1</v>
      </c>
      <c r="G97" s="8">
        <v>0</v>
      </c>
      <c r="H97" s="8">
        <v>2</v>
      </c>
      <c r="I97" s="8">
        <v>2</v>
      </c>
      <c r="J97" s="8">
        <v>5</v>
      </c>
      <c r="K97" s="8">
        <v>1</v>
      </c>
      <c r="L97" s="8">
        <v>0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</row>
    <row r="98" spans="1:107" x14ac:dyDescent="0.3">
      <c r="E98" s="5" t="s">
        <v>2</v>
      </c>
      <c r="F98" s="24">
        <f>IFERROR(F94/F83,0)</f>
        <v>912.06678571428563</v>
      </c>
      <c r="G98" s="24">
        <f>IFERROR(G94/G83,0)</f>
        <v>914.51607142857142</v>
      </c>
      <c r="H98" s="24">
        <f>IFERROR(H94/H83,0)</f>
        <v>968.20592592592584</v>
      </c>
      <c r="I98" s="24">
        <f>IFERROR(I94/I83,0)</f>
        <v>946.33793103448261</v>
      </c>
      <c r="J98" s="24">
        <f>IFERROR(J94/J83,0)</f>
        <v>948.98470588235273</v>
      </c>
      <c r="K98" s="24">
        <f>IFERROR(K94/K83,0)</f>
        <v>947.61228571428592</v>
      </c>
      <c r="L98" s="24">
        <f>IFERROR(L94/L83,0)</f>
        <v>0</v>
      </c>
      <c r="M98" s="24">
        <f>IFERROR(M94/M83,0)</f>
        <v>0</v>
      </c>
      <c r="N98" s="24">
        <f>IFERROR(N94/N83,0)</f>
        <v>0</v>
      </c>
      <c r="O98" s="24">
        <f>IFERROR(O94/O83,0)</f>
        <v>0</v>
      </c>
      <c r="P98" s="24">
        <f>IFERROR(P94/P83,0)</f>
        <v>0</v>
      </c>
      <c r="Q98" s="24">
        <f>IFERROR(Q94/Q83,0)</f>
        <v>0</v>
      </c>
    </row>
    <row r="99" spans="1:107" x14ac:dyDescent="0.3">
      <c r="E99" s="5" t="s">
        <v>1</v>
      </c>
      <c r="F99" s="8">
        <v>0</v>
      </c>
      <c r="G99" s="8">
        <v>0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</row>
    <row r="100" spans="1:107" x14ac:dyDescent="0.3">
      <c r="E100" s="5" t="s">
        <v>0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</row>
    <row r="101" spans="1:107" s="2" customFormat="1" ht="3" customHeight="1" x14ac:dyDescent="0.3">
      <c r="F101" s="55"/>
      <c r="G101" s="55"/>
      <c r="H101" s="55"/>
      <c r="I101" s="61"/>
      <c r="J101" s="55"/>
      <c r="K101" s="60"/>
      <c r="L101" s="29"/>
      <c r="M101" s="29"/>
      <c r="N101" s="29"/>
      <c r="O101" s="29"/>
      <c r="P101" s="29"/>
      <c r="Q101" s="29"/>
      <c r="S101" s="28"/>
      <c r="T101" s="28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s="2" customFormat="1" x14ac:dyDescent="0.3">
      <c r="A102" s="1"/>
      <c r="B102" s="1"/>
      <c r="C102" s="1"/>
      <c r="E102" s="54" t="s">
        <v>33</v>
      </c>
      <c r="F102" s="54" t="s">
        <v>32</v>
      </c>
      <c r="G102" s="54" t="s">
        <v>31</v>
      </c>
      <c r="H102" s="54" t="s">
        <v>30</v>
      </c>
      <c r="I102" s="54" t="s">
        <v>29</v>
      </c>
      <c r="J102" s="54" t="s">
        <v>28</v>
      </c>
      <c r="K102" s="54" t="s">
        <v>27</v>
      </c>
      <c r="L102" s="54" t="s">
        <v>26</v>
      </c>
      <c r="M102" s="54" t="s">
        <v>25</v>
      </c>
      <c r="N102" s="54" t="s">
        <v>24</v>
      </c>
      <c r="O102" s="54" t="s">
        <v>23</v>
      </c>
      <c r="P102" s="54" t="s">
        <v>22</v>
      </c>
      <c r="Q102" s="54" t="s">
        <v>21</v>
      </c>
      <c r="S102" s="28"/>
      <c r="T102" s="28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x14ac:dyDescent="0.3">
      <c r="E103" s="5" t="s">
        <v>20</v>
      </c>
      <c r="F103" s="8">
        <v>0</v>
      </c>
      <c r="G103" s="8">
        <v>0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</row>
    <row r="104" spans="1:107" s="2" customFormat="1" x14ac:dyDescent="0.3">
      <c r="A104" s="1"/>
      <c r="B104" s="1"/>
      <c r="C104" s="1"/>
      <c r="E104" s="5" t="s">
        <v>19</v>
      </c>
      <c r="F104" s="8">
        <f>SUM(F105:F106)</f>
        <v>298</v>
      </c>
      <c r="G104" s="8">
        <f>SUM(G105:G106)</f>
        <v>309</v>
      </c>
      <c r="H104" s="8">
        <f>SUM(H105:H106)</f>
        <v>290</v>
      </c>
      <c r="I104" s="8">
        <f>SUM(I105:I106)</f>
        <v>274</v>
      </c>
      <c r="J104" s="8">
        <f>SUM(J105:J106)</f>
        <v>248</v>
      </c>
      <c r="K104" s="8">
        <f>SUM(K105:K106)</f>
        <v>256</v>
      </c>
      <c r="L104" s="8">
        <f>SUM(L105:L106)</f>
        <v>0</v>
      </c>
      <c r="M104" s="8">
        <f>SUM(M105:M106)</f>
        <v>0</v>
      </c>
      <c r="N104" s="8">
        <f>SUM(N105:N106)</f>
        <v>0</v>
      </c>
      <c r="O104" s="8">
        <f>SUM(O105:O106)</f>
        <v>0</v>
      </c>
      <c r="P104" s="8">
        <f>SUM(P105:P106)</f>
        <v>0</v>
      </c>
      <c r="Q104" s="8">
        <f>SUM(Q105:Q106)</f>
        <v>0</v>
      </c>
      <c r="S104" s="28"/>
      <c r="T104" s="28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s="2" customFormat="1" x14ac:dyDescent="0.3">
      <c r="A105" s="1"/>
      <c r="B105" s="1"/>
      <c r="C105" s="1"/>
      <c r="E105" s="14" t="s">
        <v>41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8">
        <v>0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S105" s="28"/>
      <c r="T105" s="28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s="2" customFormat="1" x14ac:dyDescent="0.3">
      <c r="A106" s="1"/>
      <c r="B106" s="1"/>
      <c r="C106" s="1"/>
      <c r="E106" s="14" t="s">
        <v>40</v>
      </c>
      <c r="F106" s="8">
        <v>298</v>
      </c>
      <c r="G106" s="8">
        <v>309</v>
      </c>
      <c r="H106" s="8">
        <v>290</v>
      </c>
      <c r="I106" s="8">
        <v>274</v>
      </c>
      <c r="J106" s="8">
        <v>248</v>
      </c>
      <c r="K106" s="8">
        <v>256</v>
      </c>
      <c r="L106" s="8">
        <v>0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S106" s="28"/>
      <c r="T106" s="28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s="2" customFormat="1" x14ac:dyDescent="0.3">
      <c r="A107" s="1"/>
      <c r="B107" s="1"/>
      <c r="C107" s="1"/>
      <c r="E107" s="5" t="s">
        <v>39</v>
      </c>
      <c r="F107" s="8">
        <f>SUM(F110:F114)</f>
        <v>15</v>
      </c>
      <c r="G107" s="8">
        <f>SUM(G110:G114)</f>
        <v>21</v>
      </c>
      <c r="H107" s="8">
        <f>SUM(H110:H114)</f>
        <v>37</v>
      </c>
      <c r="I107" s="8">
        <f>SUM(I110:I114)</f>
        <v>30</v>
      </c>
      <c r="J107" s="8">
        <f>SUM(J110:J114)</f>
        <v>39</v>
      </c>
      <c r="K107" s="8">
        <f>SUM(K110:K114)</f>
        <v>6</v>
      </c>
      <c r="L107" s="8">
        <f>SUM(L110:L114)</f>
        <v>0</v>
      </c>
      <c r="M107" s="8">
        <f>SUM(M110:M114)</f>
        <v>0</v>
      </c>
      <c r="N107" s="8">
        <f>SUM(N110:N114)</f>
        <v>0</v>
      </c>
      <c r="O107" s="8">
        <f>SUM(O110:O114)</f>
        <v>0</v>
      </c>
      <c r="P107" s="8">
        <f>SUM(P110:P114)</f>
        <v>0</v>
      </c>
      <c r="Q107" s="8">
        <f>SUM(Q110:Q114)</f>
        <v>0</v>
      </c>
      <c r="S107" s="28"/>
      <c r="T107" s="28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s="2" customFormat="1" ht="12.6" customHeight="1" x14ac:dyDescent="0.3">
      <c r="A108" s="1"/>
      <c r="B108" s="1"/>
      <c r="C108" s="1"/>
      <c r="E108" s="5" t="s">
        <v>15</v>
      </c>
      <c r="F108" s="8">
        <v>1</v>
      </c>
      <c r="G108" s="8">
        <v>1</v>
      </c>
      <c r="H108" s="8">
        <v>0</v>
      </c>
      <c r="I108" s="8">
        <v>0</v>
      </c>
      <c r="J108" s="8">
        <v>0</v>
      </c>
      <c r="K108" s="8">
        <v>0</v>
      </c>
      <c r="L108" s="8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S108" s="28"/>
      <c r="T108" s="28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s="2" customFormat="1" x14ac:dyDescent="0.3">
      <c r="A109" s="1"/>
      <c r="B109" s="1"/>
      <c r="C109" s="1"/>
      <c r="E109" s="5" t="s">
        <v>14</v>
      </c>
      <c r="F109" s="10">
        <f>IFERROR(F107/'Relatório Indicadores 25'!Q104,0)</f>
        <v>5.1903114186851208E-2</v>
      </c>
      <c r="G109" s="10">
        <f>IFERROR(G107/F104,0)</f>
        <v>7.0469798657718116E-2</v>
      </c>
      <c r="H109" s="10">
        <f>IFERROR(H107/G104,0)</f>
        <v>0.11974110032362459</v>
      </c>
      <c r="I109" s="10">
        <f>IFERROR(I107/H104,0)</f>
        <v>0.10344827586206896</v>
      </c>
      <c r="J109" s="10">
        <f>IFERROR(J107/I104,0)</f>
        <v>0.14233576642335766</v>
      </c>
      <c r="K109" s="10">
        <f>IFERROR(K107/J104,0)</f>
        <v>2.4193548387096774E-2</v>
      </c>
      <c r="L109" s="10">
        <f>IFERROR(L107/K104,0)</f>
        <v>0</v>
      </c>
      <c r="M109" s="10">
        <f>IFERROR(M107/L104,0)</f>
        <v>0</v>
      </c>
      <c r="N109" s="10">
        <f>IFERROR(N107/M104,0)</f>
        <v>0</v>
      </c>
      <c r="O109" s="10">
        <f>IFERROR(O107/N104,0)</f>
        <v>0</v>
      </c>
      <c r="P109" s="10">
        <f>IFERROR(P107/O104,0)</f>
        <v>0</v>
      </c>
      <c r="Q109" s="10">
        <f>IFERROR(Q107/P104,0)</f>
        <v>0</v>
      </c>
      <c r="S109" s="28"/>
      <c r="T109" s="28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s="2" customFormat="1" x14ac:dyDescent="0.3">
      <c r="A110" s="1"/>
      <c r="B110" s="1"/>
      <c r="C110" s="1"/>
      <c r="E110" s="5" t="s">
        <v>13</v>
      </c>
      <c r="F110" s="8">
        <v>14</v>
      </c>
      <c r="G110" s="8">
        <v>14</v>
      </c>
      <c r="H110" s="8">
        <v>26</v>
      </c>
      <c r="I110" s="8">
        <v>11</v>
      </c>
      <c r="J110" s="8">
        <v>14</v>
      </c>
      <c r="K110" s="8">
        <v>0</v>
      </c>
      <c r="L110" s="8">
        <v>0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S110" s="28"/>
      <c r="T110" s="28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s="2" customFormat="1" x14ac:dyDescent="0.3">
      <c r="A111" s="1"/>
      <c r="B111" s="1"/>
      <c r="C111" s="1"/>
      <c r="E111" s="5" t="s">
        <v>12</v>
      </c>
      <c r="F111" s="8">
        <v>1</v>
      </c>
      <c r="G111" s="8">
        <v>5</v>
      </c>
      <c r="H111" s="8">
        <v>7</v>
      </c>
      <c r="I111" s="8">
        <v>19</v>
      </c>
      <c r="J111" s="8">
        <v>18</v>
      </c>
      <c r="K111" s="8">
        <v>6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S111" s="28"/>
      <c r="T111" s="28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s="2" customFormat="1" x14ac:dyDescent="0.3">
      <c r="A112" s="1"/>
      <c r="B112" s="1"/>
      <c r="C112" s="1"/>
      <c r="E112" s="5" t="s">
        <v>11</v>
      </c>
      <c r="F112" s="8">
        <v>0</v>
      </c>
      <c r="G112" s="8">
        <v>0</v>
      </c>
      <c r="H112" s="8">
        <v>4</v>
      </c>
      <c r="I112" s="8">
        <v>0</v>
      </c>
      <c r="J112" s="8">
        <v>7</v>
      </c>
      <c r="K112" s="8">
        <v>0</v>
      </c>
      <c r="L112" s="8">
        <v>0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S112" s="28"/>
      <c r="T112" s="28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s="2" customFormat="1" x14ac:dyDescent="0.3">
      <c r="A113" s="1"/>
      <c r="B113" s="1"/>
      <c r="C113" s="1"/>
      <c r="E113" s="5" t="s">
        <v>50</v>
      </c>
      <c r="F113" s="8">
        <v>0</v>
      </c>
      <c r="G113" s="8">
        <v>0</v>
      </c>
      <c r="H113" s="8">
        <v>0</v>
      </c>
      <c r="I113" s="8">
        <v>0</v>
      </c>
      <c r="J113" s="8">
        <v>0</v>
      </c>
      <c r="K113" s="8">
        <v>0</v>
      </c>
      <c r="L113" s="8">
        <v>0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S113" s="28"/>
      <c r="T113" s="28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s="2" customFormat="1" x14ac:dyDescent="0.3">
      <c r="A114" s="1"/>
      <c r="B114" s="1"/>
      <c r="C114" s="1"/>
      <c r="E114" s="5" t="s">
        <v>46</v>
      </c>
      <c r="F114" s="8">
        <v>0</v>
      </c>
      <c r="G114" s="8">
        <v>2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S114" s="28"/>
      <c r="T114" s="28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s="2" customFormat="1" x14ac:dyDescent="0.3">
      <c r="A115" s="1"/>
      <c r="B115" s="1"/>
      <c r="C115" s="1"/>
      <c r="E115" s="5" t="s">
        <v>6</v>
      </c>
      <c r="F115" s="23">
        <v>82135.900000000023</v>
      </c>
      <c r="G115" s="23">
        <v>87453.37</v>
      </c>
      <c r="H115" s="23">
        <v>85417.570000000022</v>
      </c>
      <c r="I115" s="23">
        <v>92879.439999999973</v>
      </c>
      <c r="J115" s="23">
        <v>81533.650000000009</v>
      </c>
      <c r="K115" s="23">
        <v>51041.62999999999</v>
      </c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S115" s="28"/>
      <c r="T115" s="28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s="2" customFormat="1" x14ac:dyDescent="0.3">
      <c r="A116" s="1"/>
      <c r="B116" s="1"/>
      <c r="C116" s="1"/>
      <c r="E116" s="5" t="s">
        <v>5</v>
      </c>
      <c r="F116" s="23">
        <v>64919.220000000023</v>
      </c>
      <c r="G116" s="23">
        <v>71248.149999999994</v>
      </c>
      <c r="H116" s="23">
        <v>70873.530000000028</v>
      </c>
      <c r="I116" s="23">
        <v>75860.719999999972</v>
      </c>
      <c r="J116" s="23">
        <v>66165.930000000008</v>
      </c>
      <c r="K116" s="23">
        <v>23165.16</v>
      </c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  <c r="S116" s="28"/>
      <c r="T116" s="28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s="2" customFormat="1" x14ac:dyDescent="0.3">
      <c r="A117" s="1"/>
      <c r="B117" s="1"/>
      <c r="C117" s="1"/>
      <c r="E117" s="5" t="s">
        <v>49</v>
      </c>
      <c r="F117" s="10">
        <f>IFERROR((1-F116/F115),0)</f>
        <v>0.20961211845246719</v>
      </c>
      <c r="G117" s="10">
        <f>IFERROR((1-G116/G115),0)</f>
        <v>0.1853012639764483</v>
      </c>
      <c r="H117" s="10">
        <f>IFERROR((1-H116/H115),0)</f>
        <v>0.17026988709699875</v>
      </c>
      <c r="I117" s="10">
        <f>IFERROR((1-I116/I115),0)</f>
        <v>0.18323452423916431</v>
      </c>
      <c r="J117" s="10">
        <f>IFERROR((1-J116/J115),0)</f>
        <v>0.1884831600204333</v>
      </c>
      <c r="K117" s="10">
        <f>IFERROR((1-K116/K115),0)</f>
        <v>0.54615164131709737</v>
      </c>
      <c r="L117" s="10">
        <f>IFERROR((1-L116/L115),0)</f>
        <v>0</v>
      </c>
      <c r="M117" s="10">
        <f>IFERROR((1-M116/M115),0)</f>
        <v>0</v>
      </c>
      <c r="N117" s="10">
        <f>IFERROR((1-N116/N115),0)</f>
        <v>0</v>
      </c>
      <c r="O117" s="10">
        <f>IFERROR((1-O116/O115),0)</f>
        <v>0</v>
      </c>
      <c r="P117" s="10">
        <f>IFERROR((1-P116/P115),0)</f>
        <v>0</v>
      </c>
      <c r="Q117" s="10">
        <f>IFERROR((1-Q116/Q115),0)</f>
        <v>0</v>
      </c>
      <c r="S117" s="28"/>
      <c r="T117" s="28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x14ac:dyDescent="0.3">
      <c r="E118" s="5" t="s">
        <v>3</v>
      </c>
      <c r="F118" s="8">
        <v>26</v>
      </c>
      <c r="G118" s="8">
        <v>31</v>
      </c>
      <c r="H118" s="8">
        <v>16</v>
      </c>
      <c r="I118" s="8">
        <v>15</v>
      </c>
      <c r="J118" s="8">
        <v>13</v>
      </c>
      <c r="K118" s="8">
        <v>14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</row>
    <row r="119" spans="1:107" x14ac:dyDescent="0.3">
      <c r="E119" s="5" t="s">
        <v>2</v>
      </c>
      <c r="F119" s="24">
        <f>IFERROR(F115/F104,0)</f>
        <v>275.62382550335576</v>
      </c>
      <c r="G119" s="24">
        <f>IFERROR(G115/G104,0)</f>
        <v>283.02061488673138</v>
      </c>
      <c r="H119" s="24">
        <f>IFERROR(H115/H104,0)</f>
        <v>294.54334482758628</v>
      </c>
      <c r="I119" s="24">
        <f>IFERROR(I115/I104,0)</f>
        <v>338.97605839416048</v>
      </c>
      <c r="J119" s="24">
        <f>IFERROR(J115/J104,0)</f>
        <v>328.7647177419355</v>
      </c>
      <c r="K119" s="24">
        <f>IFERROR(K115/K104,0)</f>
        <v>199.38136718749996</v>
      </c>
      <c r="L119" s="24">
        <f>IFERROR(L115/L104,0)</f>
        <v>0</v>
      </c>
      <c r="M119" s="24">
        <f>IFERROR(M115/M104,0)</f>
        <v>0</v>
      </c>
      <c r="N119" s="24">
        <f>IFERROR(N115/N104,0)</f>
        <v>0</v>
      </c>
      <c r="O119" s="24">
        <f>IFERROR(O115/O104,0)</f>
        <v>0</v>
      </c>
      <c r="P119" s="24">
        <f>IFERROR(P115/P104,0)</f>
        <v>0</v>
      </c>
      <c r="Q119" s="24">
        <f>IFERROR(Q115/Q104,0)</f>
        <v>0</v>
      </c>
    </row>
    <row r="120" spans="1:107" x14ac:dyDescent="0.3">
      <c r="E120" s="5" t="s">
        <v>1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8">
        <v>0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</row>
    <row r="121" spans="1:107" x14ac:dyDescent="0.3">
      <c r="E121" s="5" t="s">
        <v>0</v>
      </c>
      <c r="F121" s="8">
        <v>0</v>
      </c>
      <c r="G121" s="8">
        <v>0</v>
      </c>
      <c r="H121" s="8">
        <v>0</v>
      </c>
      <c r="I121" s="8">
        <v>0</v>
      </c>
      <c r="J121" s="8">
        <v>0</v>
      </c>
      <c r="K121" s="8">
        <v>0</v>
      </c>
      <c r="L121" s="8">
        <v>0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</row>
    <row r="122" spans="1:107" s="2" customFormat="1" ht="3" customHeight="1" x14ac:dyDescent="0.3">
      <c r="F122" s="55"/>
      <c r="G122" s="55"/>
      <c r="H122" s="55"/>
      <c r="I122" s="61"/>
      <c r="J122" s="55"/>
      <c r="K122" s="60"/>
      <c r="L122" s="29"/>
      <c r="M122" s="29"/>
      <c r="N122" s="29"/>
      <c r="O122" s="29"/>
      <c r="P122" s="29"/>
      <c r="Q122" s="29"/>
      <c r="S122" s="28"/>
      <c r="T122" s="28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s="2" customFormat="1" x14ac:dyDescent="0.3">
      <c r="A123" s="1"/>
      <c r="B123" s="1"/>
      <c r="C123" s="1"/>
      <c r="E123" s="54" t="s">
        <v>33</v>
      </c>
      <c r="F123" s="54" t="s">
        <v>32</v>
      </c>
      <c r="G123" s="54" t="s">
        <v>31</v>
      </c>
      <c r="H123" s="54" t="s">
        <v>30</v>
      </c>
      <c r="I123" s="54" t="s">
        <v>29</v>
      </c>
      <c r="J123" s="54" t="s">
        <v>28</v>
      </c>
      <c r="K123" s="54" t="s">
        <v>27</v>
      </c>
      <c r="L123" s="54" t="s">
        <v>26</v>
      </c>
      <c r="M123" s="54" t="s">
        <v>25</v>
      </c>
      <c r="N123" s="54" t="s">
        <v>24</v>
      </c>
      <c r="O123" s="54" t="s">
        <v>23</v>
      </c>
      <c r="P123" s="54" t="s">
        <v>22</v>
      </c>
      <c r="Q123" s="54" t="s">
        <v>21</v>
      </c>
      <c r="S123" s="28"/>
      <c r="T123" s="28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x14ac:dyDescent="0.3">
      <c r="E124" s="5" t="s">
        <v>20</v>
      </c>
      <c r="F124" s="8">
        <v>0</v>
      </c>
      <c r="G124" s="8">
        <v>0</v>
      </c>
      <c r="H124" s="8">
        <v>0</v>
      </c>
      <c r="I124" s="8">
        <v>0</v>
      </c>
      <c r="J124" s="8">
        <v>0</v>
      </c>
      <c r="K124" s="8">
        <v>0</v>
      </c>
      <c r="L124" s="8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</row>
    <row r="125" spans="1:107" s="2" customFormat="1" x14ac:dyDescent="0.3">
      <c r="A125" s="1"/>
      <c r="B125" s="1"/>
      <c r="C125" s="1"/>
      <c r="E125" s="5" t="s">
        <v>19</v>
      </c>
      <c r="F125" s="8">
        <f>SUM(F126:F127)</f>
        <v>33</v>
      </c>
      <c r="G125" s="8">
        <f>SUM(G126:G127)</f>
        <v>30</v>
      </c>
      <c r="H125" s="8">
        <f>SUM(H126:H127)</f>
        <v>25</v>
      </c>
      <c r="I125" s="8">
        <f>SUM(I126:I127)</f>
        <v>22</v>
      </c>
      <c r="J125" s="8">
        <f>SUM(J126:J127)</f>
        <v>17</v>
      </c>
      <c r="K125" s="8">
        <f>SUM(K126:K127)</f>
        <v>17</v>
      </c>
      <c r="L125" s="8">
        <f>SUM(L126:L127)</f>
        <v>0</v>
      </c>
      <c r="M125" s="8">
        <f>SUM(M126:M127)</f>
        <v>0</v>
      </c>
      <c r="N125" s="8">
        <f>SUM(N126:N127)</f>
        <v>0</v>
      </c>
      <c r="O125" s="8">
        <f>SUM(O126:O127)</f>
        <v>0</v>
      </c>
      <c r="P125" s="8">
        <f>SUM(P126:P127)</f>
        <v>0</v>
      </c>
      <c r="Q125" s="8">
        <f>SUM(Q126:Q127)</f>
        <v>0</v>
      </c>
      <c r="S125" s="28"/>
      <c r="T125" s="28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s="2" customFormat="1" x14ac:dyDescent="0.3">
      <c r="A126" s="1"/>
      <c r="B126" s="1"/>
      <c r="C126" s="1"/>
      <c r="E126" s="14" t="s">
        <v>41</v>
      </c>
      <c r="F126" s="8">
        <v>0</v>
      </c>
      <c r="G126" s="8">
        <v>0</v>
      </c>
      <c r="H126" s="8">
        <v>0</v>
      </c>
      <c r="I126" s="8">
        <v>0</v>
      </c>
      <c r="J126" s="8">
        <v>0</v>
      </c>
      <c r="K126" s="8">
        <v>0</v>
      </c>
      <c r="L126" s="8">
        <v>0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S126" s="28"/>
      <c r="T126" s="28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s="2" customFormat="1" x14ac:dyDescent="0.3">
      <c r="A127" s="1"/>
      <c r="B127" s="1"/>
      <c r="C127" s="1"/>
      <c r="E127" s="14" t="s">
        <v>40</v>
      </c>
      <c r="F127" s="8">
        <v>33</v>
      </c>
      <c r="G127" s="8">
        <v>30</v>
      </c>
      <c r="H127" s="8">
        <v>25</v>
      </c>
      <c r="I127" s="8">
        <v>22</v>
      </c>
      <c r="J127" s="8">
        <v>17</v>
      </c>
      <c r="K127" s="8">
        <v>17</v>
      </c>
      <c r="L127" s="8">
        <v>0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S127" s="28"/>
      <c r="T127" s="28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s="2" customFormat="1" x14ac:dyDescent="0.3">
      <c r="A128" s="1"/>
      <c r="B128" s="1"/>
      <c r="C128" s="1"/>
      <c r="E128" s="5" t="s">
        <v>39</v>
      </c>
      <c r="F128" s="8">
        <f>SUM(F131:F135)</f>
        <v>3</v>
      </c>
      <c r="G128" s="8">
        <f>SUM(G131:G135)</f>
        <v>3</v>
      </c>
      <c r="H128" s="8">
        <f>SUM(H131:H135)</f>
        <v>5</v>
      </c>
      <c r="I128" s="8">
        <f>SUM(I131:I135)</f>
        <v>3</v>
      </c>
      <c r="J128" s="8">
        <f>SUM(J131:J135)</f>
        <v>5</v>
      </c>
      <c r="K128" s="8">
        <f>SUM(K131:K135)</f>
        <v>0</v>
      </c>
      <c r="L128" s="8">
        <f>SUM(L131:L135)</f>
        <v>0</v>
      </c>
      <c r="M128" s="8">
        <f>SUM(M131:M135)</f>
        <v>0</v>
      </c>
      <c r="N128" s="8">
        <f>SUM(N131:N135)</f>
        <v>0</v>
      </c>
      <c r="O128" s="8">
        <f>SUM(O131:O135)</f>
        <v>0</v>
      </c>
      <c r="P128" s="8">
        <f>SUM(P131:P135)</f>
        <v>0</v>
      </c>
      <c r="Q128" s="8">
        <f>SUM(Q131:Q135)</f>
        <v>0</v>
      </c>
      <c r="S128" s="28"/>
      <c r="T128" s="28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s="2" customFormat="1" x14ac:dyDescent="0.3">
      <c r="A129" s="1"/>
      <c r="B129" s="1"/>
      <c r="C129" s="1"/>
      <c r="E129" s="5" t="s">
        <v>15</v>
      </c>
      <c r="F129" s="8">
        <v>0</v>
      </c>
      <c r="G129" s="8">
        <v>0</v>
      </c>
      <c r="H129" s="8">
        <v>0</v>
      </c>
      <c r="I129" s="8">
        <v>0</v>
      </c>
      <c r="J129" s="8">
        <v>0</v>
      </c>
      <c r="K129" s="8">
        <v>0</v>
      </c>
      <c r="L129" s="8">
        <v>0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S129" s="28"/>
      <c r="T129" s="28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s="2" customFormat="1" x14ac:dyDescent="0.3">
      <c r="A130" s="1"/>
      <c r="B130" s="1"/>
      <c r="C130" s="1"/>
      <c r="E130" s="5" t="s">
        <v>14</v>
      </c>
      <c r="F130" s="10">
        <f>IFERROR(F128/'Relatório Indicadores 25'!Q125,0)</f>
        <v>8.1081081081081086E-2</v>
      </c>
      <c r="G130" s="10">
        <f>IFERROR(G128/F125,0)</f>
        <v>9.0909090909090912E-2</v>
      </c>
      <c r="H130" s="10">
        <f>IFERROR(H128/G125,0)</f>
        <v>0.16666666666666666</v>
      </c>
      <c r="I130" s="10">
        <f>IFERROR(I128/H125,0)</f>
        <v>0.12</v>
      </c>
      <c r="J130" s="10">
        <f>IFERROR(J128/I125,0)</f>
        <v>0.22727272727272727</v>
      </c>
      <c r="K130" s="10">
        <f>IFERROR(K128/J125,0)</f>
        <v>0</v>
      </c>
      <c r="L130" s="10">
        <f>IFERROR(L128/K125,0)</f>
        <v>0</v>
      </c>
      <c r="M130" s="10">
        <f>IFERROR(M128/L125,0)</f>
        <v>0</v>
      </c>
      <c r="N130" s="10">
        <f>IFERROR(N128/M125,0)</f>
        <v>0</v>
      </c>
      <c r="O130" s="10">
        <f>IFERROR(O128/N125,0)</f>
        <v>0</v>
      </c>
      <c r="P130" s="10">
        <f>IFERROR(P128/O125,0)</f>
        <v>0</v>
      </c>
      <c r="Q130" s="10">
        <f>IFERROR(Q128/P125,0)</f>
        <v>0</v>
      </c>
      <c r="S130" s="28"/>
      <c r="T130" s="28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s="2" customFormat="1" x14ac:dyDescent="0.3">
      <c r="A131" s="1"/>
      <c r="B131" s="1"/>
      <c r="C131" s="1"/>
      <c r="E131" s="5" t="s">
        <v>13</v>
      </c>
      <c r="F131" s="8">
        <v>0</v>
      </c>
      <c r="G131" s="8">
        <v>0</v>
      </c>
      <c r="H131" s="8">
        <v>2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S131" s="28"/>
      <c r="T131" s="28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s="2" customFormat="1" x14ac:dyDescent="0.3">
      <c r="A132" s="1"/>
      <c r="B132" s="1"/>
      <c r="C132" s="1"/>
      <c r="E132" s="5" t="s">
        <v>12</v>
      </c>
      <c r="F132" s="8">
        <v>3</v>
      </c>
      <c r="G132" s="8">
        <v>3</v>
      </c>
      <c r="H132" s="8">
        <v>3</v>
      </c>
      <c r="I132" s="8">
        <v>3</v>
      </c>
      <c r="J132" s="8">
        <v>5</v>
      </c>
      <c r="K132" s="8">
        <v>0</v>
      </c>
      <c r="L132" s="8">
        <v>0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S132" s="28"/>
      <c r="T132" s="28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s="2" customFormat="1" x14ac:dyDescent="0.3">
      <c r="A133" s="1"/>
      <c r="B133" s="1"/>
      <c r="C133" s="1"/>
      <c r="E133" s="5" t="s">
        <v>11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S133" s="28"/>
      <c r="T133" s="28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s="2" customFormat="1" x14ac:dyDescent="0.3">
      <c r="A134" s="1"/>
      <c r="B134" s="1"/>
      <c r="C134" s="1"/>
      <c r="E134" s="5" t="s">
        <v>50</v>
      </c>
      <c r="F134" s="42">
        <v>0</v>
      </c>
      <c r="G134" s="42">
        <v>0</v>
      </c>
      <c r="H134" s="42">
        <v>0</v>
      </c>
      <c r="I134" s="42">
        <v>0</v>
      </c>
      <c r="J134" s="42">
        <v>0</v>
      </c>
      <c r="K134" s="42">
        <v>0</v>
      </c>
      <c r="L134" s="42">
        <v>0</v>
      </c>
      <c r="M134" s="42">
        <v>0</v>
      </c>
      <c r="N134" s="42">
        <v>0</v>
      </c>
      <c r="O134" s="42">
        <v>0</v>
      </c>
      <c r="P134" s="42">
        <v>0</v>
      </c>
      <c r="Q134" s="42">
        <v>0</v>
      </c>
      <c r="S134" s="28"/>
      <c r="T134" s="28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s="2" customFormat="1" x14ac:dyDescent="0.3">
      <c r="A135" s="1"/>
      <c r="B135" s="1"/>
      <c r="C135" s="1"/>
      <c r="E135" s="5" t="s">
        <v>46</v>
      </c>
      <c r="F135" s="42">
        <v>0</v>
      </c>
      <c r="G135" s="42">
        <v>0</v>
      </c>
      <c r="H135" s="42">
        <v>0</v>
      </c>
      <c r="I135" s="42">
        <v>0</v>
      </c>
      <c r="J135" s="42">
        <v>0</v>
      </c>
      <c r="K135" s="42">
        <v>0</v>
      </c>
      <c r="L135" s="42">
        <v>0</v>
      </c>
      <c r="M135" s="42">
        <v>0</v>
      </c>
      <c r="N135" s="42">
        <v>0</v>
      </c>
      <c r="O135" s="42">
        <v>0</v>
      </c>
      <c r="P135" s="42">
        <v>0</v>
      </c>
      <c r="Q135" s="42">
        <v>0</v>
      </c>
      <c r="S135" s="28"/>
      <c r="T135" s="28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s="2" customFormat="1" x14ac:dyDescent="0.3">
      <c r="A136" s="1"/>
      <c r="B136" s="1"/>
      <c r="C136" s="1"/>
      <c r="E136" s="5" t="s">
        <v>6</v>
      </c>
      <c r="F136" s="23">
        <v>53608.179999999986</v>
      </c>
      <c r="G136" s="23">
        <v>48618.659999999996</v>
      </c>
      <c r="H136" s="23">
        <v>41713.049999999996</v>
      </c>
      <c r="I136" s="23">
        <v>32407.62</v>
      </c>
      <c r="J136" s="23">
        <v>29867.54</v>
      </c>
      <c r="K136" s="23">
        <v>19748.379999999997</v>
      </c>
      <c r="L136" s="23">
        <v>0</v>
      </c>
      <c r="M136" s="23">
        <v>0</v>
      </c>
      <c r="N136" s="23">
        <v>0</v>
      </c>
      <c r="O136" s="23">
        <v>0</v>
      </c>
      <c r="P136" s="23">
        <v>0</v>
      </c>
      <c r="Q136" s="23">
        <v>0</v>
      </c>
      <c r="S136" s="28"/>
      <c r="T136" s="28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s="2" customFormat="1" x14ac:dyDescent="0.3">
      <c r="A137" s="1"/>
      <c r="B137" s="1"/>
      <c r="C137" s="1"/>
      <c r="E137" s="5" t="s">
        <v>5</v>
      </c>
      <c r="F137" s="23">
        <v>51515.249999999985</v>
      </c>
      <c r="G137" s="23">
        <v>46525.729999999996</v>
      </c>
      <c r="H137" s="23">
        <v>41713.049999999996</v>
      </c>
      <c r="I137" s="23">
        <v>32407.62</v>
      </c>
      <c r="J137" s="23">
        <v>29867.54</v>
      </c>
      <c r="K137" s="23">
        <v>11245.069999999998</v>
      </c>
      <c r="L137" s="23">
        <v>0</v>
      </c>
      <c r="M137" s="23">
        <v>0</v>
      </c>
      <c r="N137" s="23">
        <v>0</v>
      </c>
      <c r="O137" s="23">
        <v>0</v>
      </c>
      <c r="P137" s="23">
        <v>0</v>
      </c>
      <c r="Q137" s="23">
        <v>0</v>
      </c>
      <c r="S137" s="28"/>
      <c r="T137" s="28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s="2" customFormat="1" x14ac:dyDescent="0.3">
      <c r="A138" s="1"/>
      <c r="B138" s="1"/>
      <c r="C138" s="1"/>
      <c r="E138" s="5" t="s">
        <v>49</v>
      </c>
      <c r="F138" s="10">
        <f>IFERROR((1-F137/F136),0)</f>
        <v>3.9041243332640696E-2</v>
      </c>
      <c r="G138" s="10">
        <f>IFERROR((1-G137/G136),0)</f>
        <v>4.3047875033988992E-2</v>
      </c>
      <c r="H138" s="10">
        <f>IFERROR((1-H137/H136),0)</f>
        <v>0</v>
      </c>
      <c r="I138" s="10">
        <f>IFERROR((1-I137/I136),0)</f>
        <v>0</v>
      </c>
      <c r="J138" s="10">
        <f>IFERROR((1-J137/J136),0)</f>
        <v>0</v>
      </c>
      <c r="K138" s="10">
        <f>IFERROR((1-K137/K136),0)</f>
        <v>0.4305826604511358</v>
      </c>
      <c r="L138" s="10">
        <f>IFERROR((1-L137/L136),0)</f>
        <v>0</v>
      </c>
      <c r="M138" s="10">
        <f>IFERROR((1-M137/M136),0)</f>
        <v>0</v>
      </c>
      <c r="N138" s="10">
        <f>IFERROR((1-N137/N136),0)</f>
        <v>0</v>
      </c>
      <c r="O138" s="10">
        <f>IFERROR((1-O137/O136),0)</f>
        <v>0</v>
      </c>
      <c r="P138" s="10">
        <f>IFERROR((1-P137/P136),0)</f>
        <v>0</v>
      </c>
      <c r="Q138" s="10">
        <f>IFERROR((1-Q137/Q136),0)</f>
        <v>0</v>
      </c>
      <c r="S138" s="28"/>
      <c r="T138" s="28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x14ac:dyDescent="0.3">
      <c r="E139" s="5" t="s">
        <v>3</v>
      </c>
      <c r="F139" s="8">
        <v>0</v>
      </c>
      <c r="G139" s="8">
        <v>0</v>
      </c>
      <c r="H139" s="8">
        <v>0</v>
      </c>
      <c r="I139" s="8">
        <v>0</v>
      </c>
      <c r="J139" s="8">
        <v>0</v>
      </c>
      <c r="K139" s="8">
        <v>0</v>
      </c>
      <c r="L139" s="8">
        <v>0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</row>
    <row r="140" spans="1:107" x14ac:dyDescent="0.3">
      <c r="E140" s="5" t="s">
        <v>2</v>
      </c>
      <c r="F140" s="24">
        <f>IFERROR(F136/F125,0)</f>
        <v>1624.4903030303026</v>
      </c>
      <c r="G140" s="24">
        <f>IFERROR(G136/G125,0)</f>
        <v>1620.6219999999998</v>
      </c>
      <c r="H140" s="24">
        <f>IFERROR(H136/H125,0)</f>
        <v>1668.5219999999999</v>
      </c>
      <c r="I140" s="24">
        <f>IFERROR(I136/I125,0)</f>
        <v>1473.0736363636363</v>
      </c>
      <c r="J140" s="24">
        <f>IFERROR(J136/J125,0)</f>
        <v>1756.9141176470589</v>
      </c>
      <c r="K140" s="24">
        <f>IFERROR(K136/K125,0)</f>
        <v>1161.6694117647057</v>
      </c>
      <c r="L140" s="24">
        <f>IFERROR(L136/L125,0)</f>
        <v>0</v>
      </c>
      <c r="M140" s="24">
        <f>IFERROR(M136/M125,0)</f>
        <v>0</v>
      </c>
      <c r="N140" s="24">
        <f>IFERROR(N136/N125,0)</f>
        <v>0</v>
      </c>
      <c r="O140" s="24">
        <f>IFERROR(O136/O125,0)</f>
        <v>0</v>
      </c>
      <c r="P140" s="24">
        <f>IFERROR(P136/P125,0)</f>
        <v>0</v>
      </c>
      <c r="Q140" s="24">
        <f>IFERROR(Q136/Q125,0)</f>
        <v>0</v>
      </c>
    </row>
    <row r="141" spans="1:107" x14ac:dyDescent="0.3">
      <c r="E141" s="5" t="s">
        <v>1</v>
      </c>
      <c r="F141" s="56">
        <v>0</v>
      </c>
      <c r="G141" s="56">
        <v>0</v>
      </c>
      <c r="H141" s="56">
        <v>0</v>
      </c>
      <c r="I141" s="56">
        <v>0</v>
      </c>
      <c r="J141" s="56">
        <v>0</v>
      </c>
      <c r="K141" s="56">
        <v>0</v>
      </c>
      <c r="L141" s="56">
        <v>0</v>
      </c>
      <c r="M141" s="56">
        <v>0</v>
      </c>
      <c r="N141" s="56">
        <v>0</v>
      </c>
      <c r="O141" s="56">
        <v>0</v>
      </c>
      <c r="P141" s="56">
        <v>0</v>
      </c>
      <c r="Q141" s="56">
        <v>0</v>
      </c>
    </row>
    <row r="142" spans="1:107" x14ac:dyDescent="0.3">
      <c r="E142" s="5" t="s">
        <v>0</v>
      </c>
      <c r="F142" s="56">
        <v>0</v>
      </c>
      <c r="G142" s="56">
        <v>0</v>
      </c>
      <c r="H142" s="56">
        <v>0</v>
      </c>
      <c r="I142" s="56">
        <v>0</v>
      </c>
      <c r="J142" s="56">
        <v>0</v>
      </c>
      <c r="K142" s="56">
        <v>0</v>
      </c>
      <c r="L142" s="56">
        <v>0</v>
      </c>
      <c r="M142" s="56">
        <v>0</v>
      </c>
      <c r="N142" s="56">
        <v>0</v>
      </c>
      <c r="O142" s="56">
        <v>0</v>
      </c>
      <c r="P142" s="56">
        <v>0</v>
      </c>
      <c r="Q142" s="56">
        <v>0</v>
      </c>
    </row>
    <row r="143" spans="1:107" s="2" customFormat="1" ht="2.4" customHeight="1" x14ac:dyDescent="0.3">
      <c r="F143" s="55"/>
      <c r="G143" s="55"/>
      <c r="H143" s="55"/>
      <c r="I143" s="61"/>
      <c r="J143" s="55"/>
      <c r="K143" s="60"/>
      <c r="L143" s="29"/>
      <c r="M143" s="29"/>
      <c r="N143" s="29"/>
      <c r="O143" s="29"/>
      <c r="P143" s="29"/>
      <c r="Q143" s="29"/>
      <c r="S143" s="28"/>
      <c r="T143" s="28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s="2" customFormat="1" x14ac:dyDescent="0.3">
      <c r="A144" s="1"/>
      <c r="B144" s="1"/>
      <c r="C144" s="1"/>
      <c r="E144" s="65" t="s">
        <v>33</v>
      </c>
      <c r="F144" s="54" t="s">
        <v>32</v>
      </c>
      <c r="G144" s="54" t="s">
        <v>31</v>
      </c>
      <c r="H144" s="54" t="s">
        <v>30</v>
      </c>
      <c r="I144" s="54" t="s">
        <v>29</v>
      </c>
      <c r="J144" s="54" t="s">
        <v>28</v>
      </c>
      <c r="K144" s="54" t="s">
        <v>27</v>
      </c>
      <c r="L144" s="54" t="s">
        <v>26</v>
      </c>
      <c r="M144" s="54" t="s">
        <v>25</v>
      </c>
      <c r="N144" s="54" t="s">
        <v>24</v>
      </c>
      <c r="O144" s="54" t="s">
        <v>23</v>
      </c>
      <c r="P144" s="54" t="s">
        <v>22</v>
      </c>
      <c r="Q144" s="54" t="s">
        <v>21</v>
      </c>
      <c r="S144" s="28"/>
      <c r="T144" s="28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x14ac:dyDescent="0.3">
      <c r="E145" s="5" t="s">
        <v>20</v>
      </c>
      <c r="F145" s="8">
        <v>0</v>
      </c>
      <c r="G145" s="8">
        <v>0</v>
      </c>
      <c r="H145" s="8">
        <v>0</v>
      </c>
      <c r="I145" s="8">
        <v>0</v>
      </c>
      <c r="J145" s="8">
        <v>0</v>
      </c>
      <c r="K145" s="8">
        <v>0</v>
      </c>
      <c r="L145" s="8">
        <v>0</v>
      </c>
      <c r="M145" s="8">
        <v>0</v>
      </c>
      <c r="N145" s="8">
        <v>0</v>
      </c>
      <c r="O145" s="8">
        <v>0</v>
      </c>
      <c r="P145" s="8">
        <v>0</v>
      </c>
      <c r="Q145" s="8">
        <v>0</v>
      </c>
    </row>
    <row r="146" spans="1:107" s="2" customFormat="1" x14ac:dyDescent="0.3">
      <c r="A146" s="1"/>
      <c r="B146" s="1"/>
      <c r="C146" s="1"/>
      <c r="E146" s="5" t="s">
        <v>19</v>
      </c>
      <c r="F146" s="8">
        <f>SUM(F147:F148)</f>
        <v>851</v>
      </c>
      <c r="G146" s="8">
        <f>SUM(G147:G148)</f>
        <v>875</v>
      </c>
      <c r="H146" s="8">
        <f>SUM(H147:H148)</f>
        <v>554</v>
      </c>
      <c r="I146" s="8">
        <f>SUM(I147:I148)</f>
        <v>693</v>
      </c>
      <c r="J146" s="8">
        <f>SUM(J147:J148)</f>
        <v>1032</v>
      </c>
      <c r="K146" s="8">
        <f>SUM(K147:K148)</f>
        <v>1300</v>
      </c>
      <c r="L146" s="8">
        <f>SUM(L147:L148)</f>
        <v>0</v>
      </c>
      <c r="M146" s="8">
        <f>SUM(M147:M148)</f>
        <v>0</v>
      </c>
      <c r="N146" s="8">
        <f>SUM(N147:N148)</f>
        <v>0</v>
      </c>
      <c r="O146" s="8">
        <f>SUM(O147:O148)</f>
        <v>0</v>
      </c>
      <c r="P146" s="8">
        <f>SUM(P147:P148)</f>
        <v>0</v>
      </c>
      <c r="Q146" s="8">
        <f>SUM(Q147:Q148)</f>
        <v>0</v>
      </c>
      <c r="S146" s="28"/>
      <c r="T146" s="28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s="2" customFormat="1" x14ac:dyDescent="0.3">
      <c r="A147" s="1"/>
      <c r="B147" s="1"/>
      <c r="C147" s="1"/>
      <c r="E147" s="14" t="s">
        <v>41</v>
      </c>
      <c r="F147" s="8">
        <v>0</v>
      </c>
      <c r="G147" s="8">
        <v>0</v>
      </c>
      <c r="H147" s="8">
        <v>0</v>
      </c>
      <c r="I147" s="8">
        <v>0</v>
      </c>
      <c r="J147" s="8">
        <v>0</v>
      </c>
      <c r="K147" s="8">
        <v>0</v>
      </c>
      <c r="L147" s="8">
        <v>0</v>
      </c>
      <c r="M147" s="8">
        <v>0</v>
      </c>
      <c r="N147" s="8">
        <v>0</v>
      </c>
      <c r="O147" s="8">
        <v>0</v>
      </c>
      <c r="P147" s="8">
        <v>0</v>
      </c>
      <c r="Q147" s="8">
        <v>0</v>
      </c>
      <c r="S147" s="28"/>
      <c r="T147" s="28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s="2" customFormat="1" x14ac:dyDescent="0.3">
      <c r="A148" s="1"/>
      <c r="B148" s="1"/>
      <c r="C148" s="1"/>
      <c r="E148" s="14" t="s">
        <v>40</v>
      </c>
      <c r="F148" s="8">
        <v>851</v>
      </c>
      <c r="G148" s="8">
        <v>875</v>
      </c>
      <c r="H148" s="8">
        <v>554</v>
      </c>
      <c r="I148" s="8">
        <v>693</v>
      </c>
      <c r="J148" s="8">
        <v>1032</v>
      </c>
      <c r="K148" s="8">
        <v>1300</v>
      </c>
      <c r="L148" s="8">
        <v>0</v>
      </c>
      <c r="M148" s="8">
        <v>0</v>
      </c>
      <c r="N148" s="8">
        <v>0</v>
      </c>
      <c r="O148" s="8">
        <v>0</v>
      </c>
      <c r="P148" s="8">
        <v>0</v>
      </c>
      <c r="Q148" s="8">
        <v>0</v>
      </c>
      <c r="S148" s="28"/>
      <c r="T148" s="28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s="2" customFormat="1" ht="13.95" customHeight="1" x14ac:dyDescent="0.3">
      <c r="A149" s="1"/>
      <c r="B149" s="1"/>
      <c r="C149" s="1"/>
      <c r="E149" s="5" t="s">
        <v>39</v>
      </c>
      <c r="F149" s="8">
        <f>SUM(F152:F156)</f>
        <v>27</v>
      </c>
      <c r="G149" s="8">
        <f>SUM(G152:G156)</f>
        <v>15</v>
      </c>
      <c r="H149" s="8">
        <f>SUM(H152:H156)</f>
        <v>378</v>
      </c>
      <c r="I149" s="8">
        <f>SUM(I152:I156)</f>
        <v>29</v>
      </c>
      <c r="J149" s="8">
        <f>SUM(J152:J156)</f>
        <v>42</v>
      </c>
      <c r="K149" s="8">
        <f>SUM(K152:K156)</f>
        <v>3</v>
      </c>
      <c r="L149" s="8">
        <f>SUM(L152:L156)</f>
        <v>0</v>
      </c>
      <c r="M149" s="8">
        <f>SUM(M152:M156)</f>
        <v>0</v>
      </c>
      <c r="N149" s="8">
        <f>SUM(N152:N156)</f>
        <v>0</v>
      </c>
      <c r="O149" s="8">
        <f>SUM(O152:O156)</f>
        <v>0</v>
      </c>
      <c r="P149" s="8">
        <f>SUM(P152:P156)</f>
        <v>0</v>
      </c>
      <c r="Q149" s="8">
        <f>SUM(Q152:Q156)</f>
        <v>0</v>
      </c>
      <c r="S149" s="28"/>
      <c r="T149" s="28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s="2" customFormat="1" x14ac:dyDescent="0.3">
      <c r="A150" s="1"/>
      <c r="B150" s="1"/>
      <c r="C150" s="1"/>
      <c r="E150" s="5" t="s">
        <v>15</v>
      </c>
      <c r="F150" s="8">
        <v>4</v>
      </c>
      <c r="G150" s="8">
        <v>7</v>
      </c>
      <c r="H150" s="8">
        <v>2</v>
      </c>
      <c r="I150" s="8">
        <v>6</v>
      </c>
      <c r="J150" s="8">
        <v>4</v>
      </c>
      <c r="K150" s="8">
        <v>0</v>
      </c>
      <c r="L150" s="8">
        <v>0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S150" s="28"/>
      <c r="T150" s="28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s="2" customFormat="1" x14ac:dyDescent="0.3">
      <c r="A151" s="1"/>
      <c r="B151" s="1"/>
      <c r="C151" s="1"/>
      <c r="E151" s="5" t="s">
        <v>14</v>
      </c>
      <c r="F151" s="10">
        <f>IFERROR(F149/'Relatório Indicadores 25'!Q146,0)</f>
        <v>3.2335329341317366E-2</v>
      </c>
      <c r="G151" s="10">
        <f>IFERROR(G149/F146,0)</f>
        <v>1.7626321974148061E-2</v>
      </c>
      <c r="H151" s="10">
        <f>IFERROR(H149/G146,0)</f>
        <v>0.432</v>
      </c>
      <c r="I151" s="10">
        <f>IFERROR(I149/H146,0)</f>
        <v>5.2346570397111915E-2</v>
      </c>
      <c r="J151" s="10">
        <f>IFERROR(J149/I146,0)</f>
        <v>6.0606060606060608E-2</v>
      </c>
      <c r="K151" s="10">
        <f>IFERROR(K149/J146,0)</f>
        <v>2.9069767441860465E-3</v>
      </c>
      <c r="L151" s="10">
        <f>IFERROR(L149/K146,0)</f>
        <v>0</v>
      </c>
      <c r="M151" s="10">
        <f>IFERROR(M149/L146,0)</f>
        <v>0</v>
      </c>
      <c r="N151" s="10">
        <f>IFERROR(N149/M146,0)</f>
        <v>0</v>
      </c>
      <c r="O151" s="10">
        <f>IFERROR(O149/N146,0)</f>
        <v>0</v>
      </c>
      <c r="P151" s="10">
        <f>IFERROR(P149/O146,0)</f>
        <v>0</v>
      </c>
      <c r="Q151" s="10">
        <f>IFERROR(Q149/P146,0)</f>
        <v>0</v>
      </c>
      <c r="S151" s="28"/>
      <c r="T151" s="28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s="2" customFormat="1" x14ac:dyDescent="0.3">
      <c r="A152" s="1"/>
      <c r="B152" s="1"/>
      <c r="C152" s="1"/>
      <c r="E152" s="5" t="s">
        <v>13</v>
      </c>
      <c r="F152" s="8">
        <v>11</v>
      </c>
      <c r="G152" s="8">
        <v>3</v>
      </c>
      <c r="H152" s="8">
        <v>15</v>
      </c>
      <c r="I152" s="8">
        <v>8</v>
      </c>
      <c r="J152" s="8">
        <v>11</v>
      </c>
      <c r="K152" s="8">
        <v>0</v>
      </c>
      <c r="L152" s="8">
        <v>0</v>
      </c>
      <c r="M152" s="8">
        <v>0</v>
      </c>
      <c r="N152" s="8">
        <v>0</v>
      </c>
      <c r="O152" s="8">
        <v>0</v>
      </c>
      <c r="P152" s="8">
        <v>0</v>
      </c>
      <c r="Q152" s="8">
        <v>0</v>
      </c>
      <c r="S152" s="28"/>
      <c r="T152" s="28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s="2" customFormat="1" x14ac:dyDescent="0.3">
      <c r="A153" s="1"/>
      <c r="B153" s="1"/>
      <c r="C153" s="1"/>
      <c r="E153" s="5" t="s">
        <v>12</v>
      </c>
      <c r="F153" s="8">
        <v>14</v>
      </c>
      <c r="G153" s="8">
        <v>10</v>
      </c>
      <c r="H153" s="8">
        <v>15</v>
      </c>
      <c r="I153" s="8">
        <v>19</v>
      </c>
      <c r="J153" s="8">
        <v>26</v>
      </c>
      <c r="K153" s="8">
        <v>3</v>
      </c>
      <c r="L153" s="8">
        <v>0</v>
      </c>
      <c r="M153" s="8">
        <v>0</v>
      </c>
      <c r="N153" s="8">
        <v>0</v>
      </c>
      <c r="O153" s="8">
        <v>0</v>
      </c>
      <c r="P153" s="8">
        <v>0</v>
      </c>
      <c r="Q153" s="8">
        <v>0</v>
      </c>
      <c r="S153" s="28"/>
      <c r="T153" s="28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s="2" customFormat="1" x14ac:dyDescent="0.3">
      <c r="A154" s="1"/>
      <c r="B154" s="1"/>
      <c r="C154" s="1"/>
      <c r="E154" s="5" t="s">
        <v>11</v>
      </c>
      <c r="F154" s="8">
        <v>0</v>
      </c>
      <c r="G154" s="8">
        <v>0</v>
      </c>
      <c r="H154" s="8">
        <v>1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8">
        <v>0</v>
      </c>
      <c r="O154" s="8">
        <v>0</v>
      </c>
      <c r="P154" s="8">
        <v>0</v>
      </c>
      <c r="Q154" s="8">
        <v>0</v>
      </c>
      <c r="S154" s="28"/>
      <c r="T154" s="28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s="2" customFormat="1" x14ac:dyDescent="0.3">
      <c r="A155" s="1"/>
      <c r="B155" s="1"/>
      <c r="C155" s="1"/>
      <c r="E155" s="5" t="s">
        <v>50</v>
      </c>
      <c r="F155" s="42">
        <v>0</v>
      </c>
      <c r="G155" s="42">
        <v>0</v>
      </c>
      <c r="H155" s="42">
        <v>0</v>
      </c>
      <c r="I155" s="42">
        <v>0</v>
      </c>
      <c r="J155" s="42">
        <v>0</v>
      </c>
      <c r="K155" s="42">
        <v>0</v>
      </c>
      <c r="L155" s="42">
        <v>0</v>
      </c>
      <c r="M155" s="42">
        <v>0</v>
      </c>
      <c r="N155" s="42">
        <v>0</v>
      </c>
      <c r="O155" s="42">
        <v>0</v>
      </c>
      <c r="P155" s="42">
        <v>0</v>
      </c>
      <c r="Q155" s="42">
        <v>0</v>
      </c>
      <c r="S155" s="28"/>
      <c r="T155" s="28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s="2" customFormat="1" x14ac:dyDescent="0.3">
      <c r="A156" s="1"/>
      <c r="B156" s="1"/>
      <c r="C156" s="1"/>
      <c r="E156" s="5" t="s">
        <v>46</v>
      </c>
      <c r="F156" s="42">
        <v>2</v>
      </c>
      <c r="G156" s="42">
        <v>2</v>
      </c>
      <c r="H156" s="42">
        <v>347</v>
      </c>
      <c r="I156" s="42">
        <v>2</v>
      </c>
      <c r="J156" s="42">
        <v>5</v>
      </c>
      <c r="K156" s="42">
        <v>0</v>
      </c>
      <c r="L156" s="42">
        <v>0</v>
      </c>
      <c r="M156" s="42">
        <v>0</v>
      </c>
      <c r="N156" s="42">
        <v>0</v>
      </c>
      <c r="O156" s="42">
        <v>0</v>
      </c>
      <c r="P156" s="42">
        <v>0</v>
      </c>
      <c r="Q156" s="42">
        <v>0</v>
      </c>
      <c r="S156" s="28"/>
      <c r="T156" s="28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s="2" customFormat="1" x14ac:dyDescent="0.3">
      <c r="A157" s="1"/>
      <c r="B157" s="1"/>
      <c r="C157" s="1"/>
      <c r="E157" s="5" t="s">
        <v>6</v>
      </c>
      <c r="F157" s="23">
        <v>563388.58999999985</v>
      </c>
      <c r="G157" s="23">
        <v>565935.21000000008</v>
      </c>
      <c r="H157" s="23">
        <v>558980.7100000002</v>
      </c>
      <c r="I157" s="23">
        <v>338141.26000000053</v>
      </c>
      <c r="J157" s="23">
        <v>442738.75000000361</v>
      </c>
      <c r="K157" s="23">
        <v>325314.61999999965</v>
      </c>
      <c r="L157" s="23">
        <v>0</v>
      </c>
      <c r="M157" s="23">
        <v>0</v>
      </c>
      <c r="N157" s="23">
        <v>0</v>
      </c>
      <c r="O157" s="23">
        <v>0</v>
      </c>
      <c r="P157" s="23">
        <v>0</v>
      </c>
      <c r="Q157" s="23">
        <v>0</v>
      </c>
      <c r="S157" s="28"/>
      <c r="T157" s="28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s="2" customFormat="1" x14ac:dyDescent="0.3">
      <c r="A158" s="1"/>
      <c r="B158" s="1"/>
      <c r="C158" s="1"/>
      <c r="E158" s="5" t="s">
        <v>5</v>
      </c>
      <c r="F158" s="23">
        <v>255916.80999999988</v>
      </c>
      <c r="G158" s="23">
        <v>257819.2</v>
      </c>
      <c r="H158" s="23">
        <v>271202.51000000024</v>
      </c>
      <c r="I158" s="23">
        <v>306236.67000000051</v>
      </c>
      <c r="J158" s="23">
        <v>395829.6000000037</v>
      </c>
      <c r="K158" s="23">
        <v>135182.37999999986</v>
      </c>
      <c r="L158" s="23">
        <v>0</v>
      </c>
      <c r="M158" s="23">
        <v>0</v>
      </c>
      <c r="N158" s="23">
        <v>0</v>
      </c>
      <c r="O158" s="23">
        <v>0</v>
      </c>
      <c r="P158" s="23">
        <v>0</v>
      </c>
      <c r="Q158" s="23">
        <v>0</v>
      </c>
      <c r="S158" s="28"/>
      <c r="T158" s="28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s="2" customFormat="1" x14ac:dyDescent="0.3">
      <c r="A159" s="1"/>
      <c r="B159" s="1"/>
      <c r="C159" s="1"/>
      <c r="E159" s="5" t="s">
        <v>49</v>
      </c>
      <c r="F159" s="10">
        <f>IFERROR((1-F158/F157),0)</f>
        <v>0.545754361123998</v>
      </c>
      <c r="G159" s="10">
        <f>IFERROR((1-G158/G157),0)</f>
        <v>0.5444368976441667</v>
      </c>
      <c r="H159" s="10">
        <f>IFERROR((1-H158/H157),0)</f>
        <v>0.51482671020973125</v>
      </c>
      <c r="I159" s="10">
        <f>IFERROR((1-I158/I157),0)</f>
        <v>9.4352845316776679E-2</v>
      </c>
      <c r="J159" s="10">
        <f>IFERROR((1-J158/J157),0)</f>
        <v>0.10595221222447671</v>
      </c>
      <c r="K159" s="10">
        <f>IFERROR((1-K158/K157),0)</f>
        <v>0.58445648707703324</v>
      </c>
      <c r="L159" s="10">
        <f>IFERROR((1-L158/L157),0)</f>
        <v>0</v>
      </c>
      <c r="M159" s="10">
        <f>IFERROR((1-M158/M157),0)</f>
        <v>0</v>
      </c>
      <c r="N159" s="10">
        <f>IFERROR((1-N158/N157),0)</f>
        <v>0</v>
      </c>
      <c r="O159" s="10">
        <f>IFERROR((1-O158/O157),0)</f>
        <v>0</v>
      </c>
      <c r="P159" s="10">
        <f>IFERROR((1-P158/P157),0)</f>
        <v>0</v>
      </c>
      <c r="Q159" s="10">
        <f>IFERROR((1-Q158/Q157),0)</f>
        <v>0</v>
      </c>
      <c r="S159" s="28"/>
      <c r="T159" s="28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s="2" customFormat="1" x14ac:dyDescent="0.3">
      <c r="A160" s="1"/>
      <c r="B160" s="1"/>
      <c r="C160" s="1"/>
      <c r="E160" s="5" t="s">
        <v>3</v>
      </c>
      <c r="F160" s="8">
        <v>42</v>
      </c>
      <c r="G160" s="8">
        <v>36</v>
      </c>
      <c r="H160" s="8">
        <v>55</v>
      </c>
      <c r="I160" s="8">
        <v>165</v>
      </c>
      <c r="J160" s="8">
        <v>369</v>
      </c>
      <c r="K160" s="8">
        <v>271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S160" s="28"/>
      <c r="T160" s="28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s="2" customFormat="1" x14ac:dyDescent="0.3">
      <c r="A161" s="1"/>
      <c r="B161" s="1"/>
      <c r="C161" s="1"/>
      <c r="E161" s="5" t="s">
        <v>2</v>
      </c>
      <c r="F161" s="24">
        <f>IFERROR(F157/F146,0)</f>
        <v>662.03124559341938</v>
      </c>
      <c r="G161" s="24">
        <f>IFERROR(G157/G146,0)</f>
        <v>646.78309714285729</v>
      </c>
      <c r="H161" s="24">
        <f>IFERROR(H157/H146,0)</f>
        <v>1008.9904512635383</v>
      </c>
      <c r="I161" s="24">
        <f>IFERROR(I157/I146,0)</f>
        <v>487.93832611832687</v>
      </c>
      <c r="J161" s="24">
        <f>IFERROR(J157/J146,0)</f>
        <v>429.01041666667015</v>
      </c>
      <c r="K161" s="24">
        <f>IFERROR(K157/K146,0)</f>
        <v>250.24201538461512</v>
      </c>
      <c r="L161" s="24">
        <f>IFERROR(L157/L146,0)</f>
        <v>0</v>
      </c>
      <c r="M161" s="24">
        <f>IFERROR(M157/M146,0)</f>
        <v>0</v>
      </c>
      <c r="N161" s="24">
        <f>IFERROR(N157/N146,0)</f>
        <v>0</v>
      </c>
      <c r="O161" s="24">
        <f>IFERROR(O157/O146,0)</f>
        <v>0</v>
      </c>
      <c r="P161" s="24">
        <f>IFERROR(P157/P146,0)</f>
        <v>0</v>
      </c>
      <c r="Q161" s="24">
        <f>IFERROR(Q157/Q146,0)</f>
        <v>0</v>
      </c>
      <c r="S161" s="28"/>
      <c r="T161" s="28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s="2" customFormat="1" x14ac:dyDescent="0.3">
      <c r="A162" s="1"/>
      <c r="B162" s="1"/>
      <c r="C162" s="1"/>
      <c r="E162" s="5" t="s">
        <v>1</v>
      </c>
      <c r="F162" s="56">
        <v>0</v>
      </c>
      <c r="G162" s="56">
        <v>0</v>
      </c>
      <c r="H162" s="56">
        <v>0</v>
      </c>
      <c r="I162" s="56">
        <v>0</v>
      </c>
      <c r="J162" s="56">
        <v>0</v>
      </c>
      <c r="K162" s="56">
        <v>0</v>
      </c>
      <c r="L162" s="56">
        <v>0</v>
      </c>
      <c r="M162" s="56">
        <v>0</v>
      </c>
      <c r="N162" s="56">
        <v>0</v>
      </c>
      <c r="O162" s="56">
        <v>0</v>
      </c>
      <c r="P162" s="56">
        <v>0</v>
      </c>
      <c r="Q162" s="56">
        <v>0</v>
      </c>
      <c r="S162" s="28"/>
      <c r="T162" s="28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s="2" customFormat="1" x14ac:dyDescent="0.3">
      <c r="A163" s="1"/>
      <c r="B163" s="1"/>
      <c r="C163" s="1"/>
      <c r="E163" s="5" t="s">
        <v>0</v>
      </c>
      <c r="F163" s="56">
        <v>0</v>
      </c>
      <c r="G163" s="56">
        <v>0</v>
      </c>
      <c r="H163" s="56">
        <v>0</v>
      </c>
      <c r="I163" s="56">
        <v>0</v>
      </c>
      <c r="J163" s="56">
        <v>0</v>
      </c>
      <c r="K163" s="56">
        <v>0</v>
      </c>
      <c r="L163" s="56">
        <v>0</v>
      </c>
      <c r="M163" s="56">
        <v>0</v>
      </c>
      <c r="N163" s="56">
        <v>0</v>
      </c>
      <c r="O163" s="56">
        <v>0</v>
      </c>
      <c r="P163" s="56">
        <v>0</v>
      </c>
      <c r="Q163" s="56">
        <v>0</v>
      </c>
      <c r="S163" s="28"/>
      <c r="T163" s="28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s="2" customFormat="1" ht="3.6" customHeight="1" x14ac:dyDescent="0.3">
      <c r="F164" s="55"/>
      <c r="G164" s="55"/>
      <c r="H164" s="55"/>
      <c r="I164" s="55"/>
      <c r="J164" s="55"/>
      <c r="K164" s="55"/>
      <c r="L164" s="55"/>
      <c r="M164" s="55"/>
      <c r="N164" s="29"/>
      <c r="O164" s="29"/>
      <c r="P164" s="29"/>
      <c r="Q164" s="29"/>
      <c r="S164" s="28"/>
      <c r="T164" s="28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s="2" customFormat="1" x14ac:dyDescent="0.3">
      <c r="A165" s="1"/>
      <c r="B165" s="1"/>
      <c r="C165" s="1"/>
      <c r="E165" s="54" t="s">
        <v>33</v>
      </c>
      <c r="F165" s="54" t="s">
        <v>32</v>
      </c>
      <c r="G165" s="54" t="s">
        <v>31</v>
      </c>
      <c r="H165" s="54" t="s">
        <v>30</v>
      </c>
      <c r="I165" s="54" t="s">
        <v>29</v>
      </c>
      <c r="J165" s="54" t="s">
        <v>28</v>
      </c>
      <c r="K165" s="54" t="s">
        <v>27</v>
      </c>
      <c r="L165" s="54" t="s">
        <v>26</v>
      </c>
      <c r="M165" s="54" t="s">
        <v>25</v>
      </c>
      <c r="N165" s="54" t="s">
        <v>24</v>
      </c>
      <c r="O165" s="54" t="s">
        <v>23</v>
      </c>
      <c r="P165" s="54" t="s">
        <v>22</v>
      </c>
      <c r="Q165" s="54" t="s">
        <v>21</v>
      </c>
      <c r="S165" s="28"/>
      <c r="T165" s="28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x14ac:dyDescent="0.3">
      <c r="E166" s="5" t="s">
        <v>20</v>
      </c>
      <c r="F166" s="80">
        <v>0</v>
      </c>
      <c r="G166" s="80">
        <v>0</v>
      </c>
      <c r="H166" s="80">
        <v>0</v>
      </c>
      <c r="I166" s="80">
        <v>0</v>
      </c>
      <c r="J166" s="80">
        <v>0</v>
      </c>
      <c r="K166" s="80">
        <v>0</v>
      </c>
      <c r="L166" s="80">
        <v>0</v>
      </c>
      <c r="M166" s="80">
        <v>0</v>
      </c>
      <c r="N166" s="80">
        <v>0</v>
      </c>
      <c r="O166" s="80">
        <v>0</v>
      </c>
      <c r="P166" s="80">
        <v>0</v>
      </c>
      <c r="Q166" s="80">
        <v>0</v>
      </c>
    </row>
    <row r="167" spans="1:107" s="2" customFormat="1" x14ac:dyDescent="0.3">
      <c r="A167" s="1"/>
      <c r="B167" s="1"/>
      <c r="C167" s="1"/>
      <c r="E167" s="5" t="s">
        <v>19</v>
      </c>
      <c r="F167" s="8">
        <f>SUM(F168:F169)</f>
        <v>40</v>
      </c>
      <c r="G167" s="8">
        <f>SUM(G168:G169)</f>
        <v>39</v>
      </c>
      <c r="H167" s="8">
        <f>SUM(H168:H169)</f>
        <v>46</v>
      </c>
      <c r="I167" s="8">
        <f>SUM(I168:I169)</f>
        <v>46</v>
      </c>
      <c r="J167" s="8">
        <f>SUM(J168:J169)</f>
        <v>46</v>
      </c>
      <c r="K167" s="8">
        <f>SUM(K168:K169)</f>
        <v>49</v>
      </c>
      <c r="L167" s="8">
        <f>SUM(L168:L169)</f>
        <v>0</v>
      </c>
      <c r="M167" s="8">
        <f>SUM(M168:M169)</f>
        <v>0</v>
      </c>
      <c r="N167" s="8">
        <f>SUM(N168:N169)</f>
        <v>0</v>
      </c>
      <c r="O167" s="8">
        <f>SUM(O168:O169)</f>
        <v>0</v>
      </c>
      <c r="P167" s="8">
        <f>SUM(P168:P169)</f>
        <v>0</v>
      </c>
      <c r="Q167" s="8">
        <f>SUM(Q168:Q169)</f>
        <v>0</v>
      </c>
      <c r="S167" s="28"/>
      <c r="T167" s="28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s="2" customFormat="1" x14ac:dyDescent="0.3">
      <c r="A168" s="1"/>
      <c r="B168" s="1"/>
      <c r="C168" s="1"/>
      <c r="E168" s="14" t="s">
        <v>41</v>
      </c>
      <c r="F168" s="80">
        <v>0</v>
      </c>
      <c r="G168" s="80">
        <v>0</v>
      </c>
      <c r="H168" s="80">
        <v>0</v>
      </c>
      <c r="I168" s="80">
        <v>0</v>
      </c>
      <c r="J168" s="80">
        <v>0</v>
      </c>
      <c r="K168" s="80">
        <v>0</v>
      </c>
      <c r="L168" s="80">
        <v>0</v>
      </c>
      <c r="M168" s="80">
        <v>0</v>
      </c>
      <c r="N168" s="80">
        <v>0</v>
      </c>
      <c r="O168" s="80">
        <v>0</v>
      </c>
      <c r="P168" s="80">
        <v>0</v>
      </c>
      <c r="Q168" s="80">
        <v>0</v>
      </c>
      <c r="S168" s="28"/>
      <c r="T168" s="28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s="2" customFormat="1" x14ac:dyDescent="0.3">
      <c r="A169" s="1"/>
      <c r="B169" s="1"/>
      <c r="C169" s="1"/>
      <c r="E169" s="14" t="s">
        <v>40</v>
      </c>
      <c r="F169" s="80">
        <v>40</v>
      </c>
      <c r="G169" s="80">
        <v>39</v>
      </c>
      <c r="H169" s="80">
        <v>46</v>
      </c>
      <c r="I169" s="80">
        <v>46</v>
      </c>
      <c r="J169" s="80">
        <v>46</v>
      </c>
      <c r="K169" s="80">
        <v>49</v>
      </c>
      <c r="L169" s="80">
        <v>0</v>
      </c>
      <c r="M169" s="80">
        <v>0</v>
      </c>
      <c r="N169" s="80">
        <v>0</v>
      </c>
      <c r="O169" s="80">
        <v>0</v>
      </c>
      <c r="P169" s="80">
        <v>0</v>
      </c>
      <c r="Q169" s="80">
        <v>0</v>
      </c>
      <c r="S169" s="28"/>
      <c r="T169" s="28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s="2" customFormat="1" x14ac:dyDescent="0.3">
      <c r="A170" s="1"/>
      <c r="B170" s="1"/>
      <c r="C170" s="1"/>
      <c r="E170" s="5" t="s">
        <v>39</v>
      </c>
      <c r="F170" s="8">
        <f>SUM(F173:F177)</f>
        <v>1</v>
      </c>
      <c r="G170" s="8">
        <f>SUM(G173:G177)</f>
        <v>6</v>
      </c>
      <c r="H170" s="8">
        <f>SUM(H173:H177)</f>
        <v>2</v>
      </c>
      <c r="I170" s="8">
        <f>SUM(I173:I177)</f>
        <v>2</v>
      </c>
      <c r="J170" s="8">
        <f>SUM(J173:J177)</f>
        <v>4</v>
      </c>
      <c r="K170" s="8">
        <f>SUM(K173:K177)</f>
        <v>3</v>
      </c>
      <c r="L170" s="8">
        <f>SUM(L173:L177)</f>
        <v>0</v>
      </c>
      <c r="M170" s="8">
        <f>SUM(M173:M177)</f>
        <v>0</v>
      </c>
      <c r="N170" s="8">
        <f>SUM(N173:N177)</f>
        <v>0</v>
      </c>
      <c r="O170" s="8">
        <f>SUM(O173:O177)</f>
        <v>0</v>
      </c>
      <c r="P170" s="8">
        <f>SUM(P173:P177)</f>
        <v>0</v>
      </c>
      <c r="Q170" s="8">
        <f>SUM(Q173:Q177)</f>
        <v>0</v>
      </c>
      <c r="S170" s="28"/>
      <c r="T170" s="28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s="2" customFormat="1" x14ac:dyDescent="0.3">
      <c r="A171" s="1"/>
      <c r="B171" s="1"/>
      <c r="C171" s="1"/>
      <c r="E171" s="5" t="s">
        <v>15</v>
      </c>
      <c r="F171" s="81">
        <v>0</v>
      </c>
      <c r="G171" s="80">
        <v>0</v>
      </c>
      <c r="H171" s="80">
        <v>0</v>
      </c>
      <c r="I171" s="80">
        <v>0</v>
      </c>
      <c r="J171" s="80">
        <v>0</v>
      </c>
      <c r="K171" s="80">
        <v>0</v>
      </c>
      <c r="L171" s="80">
        <v>0</v>
      </c>
      <c r="M171" s="80">
        <v>0</v>
      </c>
      <c r="N171" s="80">
        <v>0</v>
      </c>
      <c r="O171" s="80">
        <v>0</v>
      </c>
      <c r="P171" s="80">
        <v>0</v>
      </c>
      <c r="Q171" s="80">
        <v>0</v>
      </c>
      <c r="S171" s="28"/>
      <c r="T171" s="28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s="2" customFormat="1" x14ac:dyDescent="0.3">
      <c r="A172" s="1"/>
      <c r="B172" s="1"/>
      <c r="C172" s="1"/>
      <c r="E172" s="5" t="s">
        <v>14</v>
      </c>
      <c r="F172" s="10">
        <f>IFERROR(F170/'Relatório Indicadores 25'!Q167,0)</f>
        <v>2.6315789473684209E-2</v>
      </c>
      <c r="G172" s="10">
        <f>IFERROR(G170/F167,0)</f>
        <v>0.15</v>
      </c>
      <c r="H172" s="10">
        <f>IFERROR(H170/G167,0)</f>
        <v>5.128205128205128E-2</v>
      </c>
      <c r="I172" s="10">
        <f>IFERROR(I170/H167,0)</f>
        <v>4.3478260869565216E-2</v>
      </c>
      <c r="J172" s="10">
        <f>IFERROR(J170/I167,0)</f>
        <v>8.6956521739130432E-2</v>
      </c>
      <c r="K172" s="10">
        <f>IFERROR(K170/J167,0)</f>
        <v>6.5217391304347824E-2</v>
      </c>
      <c r="L172" s="10">
        <f>IFERROR(L170/K167,0)</f>
        <v>0</v>
      </c>
      <c r="M172" s="10">
        <f>IFERROR(M170/L167,0)</f>
        <v>0</v>
      </c>
      <c r="N172" s="10">
        <f>IFERROR(N170/M167,0)</f>
        <v>0</v>
      </c>
      <c r="O172" s="10">
        <f>IFERROR(O170/N167,0)</f>
        <v>0</v>
      </c>
      <c r="P172" s="10">
        <f>IFERROR(P170/O167,0)</f>
        <v>0</v>
      </c>
      <c r="Q172" s="10">
        <f>IFERROR(Q170/P167,0)</f>
        <v>0</v>
      </c>
      <c r="S172" s="28"/>
      <c r="T172" s="28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s="2" customFormat="1" x14ac:dyDescent="0.3">
      <c r="A173" s="1"/>
      <c r="B173" s="1"/>
      <c r="C173" s="1"/>
      <c r="E173" s="5" t="s">
        <v>13</v>
      </c>
      <c r="F173" s="80">
        <v>1</v>
      </c>
      <c r="G173" s="80">
        <v>4</v>
      </c>
      <c r="H173" s="80">
        <v>1</v>
      </c>
      <c r="I173" s="80">
        <v>2</v>
      </c>
      <c r="J173" s="80">
        <v>3</v>
      </c>
      <c r="K173" s="80">
        <v>3</v>
      </c>
      <c r="L173" s="80">
        <v>0</v>
      </c>
      <c r="M173" s="80">
        <v>0</v>
      </c>
      <c r="N173" s="80">
        <v>0</v>
      </c>
      <c r="O173" s="80">
        <v>0</v>
      </c>
      <c r="P173" s="80">
        <v>0</v>
      </c>
      <c r="Q173" s="80">
        <v>0</v>
      </c>
      <c r="S173" s="28"/>
      <c r="T173" s="28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s="2" customFormat="1" x14ac:dyDescent="0.3">
      <c r="A174" s="1"/>
      <c r="B174" s="1"/>
      <c r="C174" s="1"/>
      <c r="E174" s="5" t="s">
        <v>12</v>
      </c>
      <c r="F174" s="80">
        <v>0</v>
      </c>
      <c r="G174" s="80">
        <v>2</v>
      </c>
      <c r="H174" s="80">
        <v>1</v>
      </c>
      <c r="I174" s="80">
        <v>0</v>
      </c>
      <c r="J174" s="80">
        <v>1</v>
      </c>
      <c r="K174" s="80">
        <v>0</v>
      </c>
      <c r="L174" s="80">
        <v>0</v>
      </c>
      <c r="M174" s="80">
        <v>0</v>
      </c>
      <c r="N174" s="80">
        <v>0</v>
      </c>
      <c r="O174" s="80">
        <v>0</v>
      </c>
      <c r="P174" s="80">
        <v>0</v>
      </c>
      <c r="Q174" s="80">
        <v>0</v>
      </c>
      <c r="S174" s="28"/>
      <c r="T174" s="28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s="2" customFormat="1" x14ac:dyDescent="0.3">
      <c r="A175" s="1"/>
      <c r="B175" s="1"/>
      <c r="C175" s="1"/>
      <c r="E175" s="5" t="s">
        <v>11</v>
      </c>
      <c r="F175" s="80">
        <v>0</v>
      </c>
      <c r="G175" s="80">
        <v>0</v>
      </c>
      <c r="H175" s="80">
        <v>0</v>
      </c>
      <c r="I175" s="80">
        <v>0</v>
      </c>
      <c r="J175" s="80">
        <v>0</v>
      </c>
      <c r="K175" s="80">
        <v>0</v>
      </c>
      <c r="L175" s="80">
        <v>0</v>
      </c>
      <c r="M175" s="80">
        <v>0</v>
      </c>
      <c r="N175" s="80">
        <v>0</v>
      </c>
      <c r="O175" s="80">
        <v>0</v>
      </c>
      <c r="P175" s="80">
        <v>0</v>
      </c>
      <c r="Q175" s="80">
        <v>0</v>
      </c>
      <c r="S175" s="28"/>
      <c r="T175" s="28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s="2" customFormat="1" x14ac:dyDescent="0.3">
      <c r="A176" s="1"/>
      <c r="B176" s="1"/>
      <c r="C176" s="1"/>
      <c r="E176" s="5" t="s">
        <v>50</v>
      </c>
      <c r="F176" s="79">
        <v>0</v>
      </c>
      <c r="G176" s="79">
        <v>0</v>
      </c>
      <c r="H176" s="79">
        <v>0</v>
      </c>
      <c r="I176" s="79">
        <v>0</v>
      </c>
      <c r="J176" s="79">
        <v>0</v>
      </c>
      <c r="K176" s="79">
        <v>0</v>
      </c>
      <c r="L176" s="79">
        <v>0</v>
      </c>
      <c r="M176" s="79">
        <v>0</v>
      </c>
      <c r="N176" s="79">
        <v>0</v>
      </c>
      <c r="O176" s="79">
        <v>0</v>
      </c>
      <c r="P176" s="79">
        <v>0</v>
      </c>
      <c r="Q176" s="79">
        <v>0</v>
      </c>
      <c r="S176" s="28"/>
      <c r="T176" s="28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s="2" customFormat="1" x14ac:dyDescent="0.3">
      <c r="A177" s="1"/>
      <c r="B177" s="1"/>
      <c r="C177" s="1"/>
      <c r="E177" s="5" t="s">
        <v>46</v>
      </c>
      <c r="F177" s="79">
        <v>0</v>
      </c>
      <c r="G177" s="79">
        <v>0</v>
      </c>
      <c r="H177" s="79">
        <v>0</v>
      </c>
      <c r="I177" s="79">
        <v>0</v>
      </c>
      <c r="J177" s="79">
        <v>0</v>
      </c>
      <c r="K177" s="79">
        <v>0</v>
      </c>
      <c r="L177" s="79">
        <v>0</v>
      </c>
      <c r="M177" s="79">
        <v>0</v>
      </c>
      <c r="N177" s="79">
        <v>0</v>
      </c>
      <c r="O177" s="79">
        <v>0</v>
      </c>
      <c r="P177" s="79">
        <v>0</v>
      </c>
      <c r="Q177" s="79">
        <v>0</v>
      </c>
      <c r="S177" s="28"/>
      <c r="T177" s="28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s="2" customFormat="1" x14ac:dyDescent="0.3">
      <c r="A178" s="1"/>
      <c r="B178" s="1"/>
      <c r="C178" s="1"/>
      <c r="E178" s="5" t="s">
        <v>6</v>
      </c>
      <c r="F178" s="23">
        <v>13560.119999999999</v>
      </c>
      <c r="G178" s="23">
        <v>13264.15</v>
      </c>
      <c r="H178" s="23">
        <v>15828.96</v>
      </c>
      <c r="I178" s="23">
        <v>16733.269999999997</v>
      </c>
      <c r="J178" s="23">
        <v>17398.239999999998</v>
      </c>
      <c r="K178" s="23">
        <v>15133.34</v>
      </c>
      <c r="L178" s="23">
        <v>0</v>
      </c>
      <c r="M178" s="23">
        <v>0</v>
      </c>
      <c r="N178" s="23">
        <v>0</v>
      </c>
      <c r="O178" s="23">
        <v>0</v>
      </c>
      <c r="P178" s="23">
        <v>0</v>
      </c>
      <c r="Q178" s="23">
        <v>0</v>
      </c>
      <c r="S178" s="28"/>
      <c r="T178" s="28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s="2" customFormat="1" x14ac:dyDescent="0.3">
      <c r="A179" s="1"/>
      <c r="B179" s="1"/>
      <c r="C179" s="1"/>
      <c r="E179" s="5" t="s">
        <v>5</v>
      </c>
      <c r="F179" s="23">
        <v>12204.109999999999</v>
      </c>
      <c r="G179" s="23">
        <v>11490.789999999999</v>
      </c>
      <c r="H179" s="23">
        <v>13225.439999999999</v>
      </c>
      <c r="I179" s="23">
        <v>14325.619999999997</v>
      </c>
      <c r="J179" s="23">
        <v>15617.179999999998</v>
      </c>
      <c r="K179" s="23">
        <v>5698.7899999999991</v>
      </c>
      <c r="L179" s="23">
        <v>0</v>
      </c>
      <c r="M179" s="23">
        <v>0</v>
      </c>
      <c r="N179" s="23">
        <v>0</v>
      </c>
      <c r="O179" s="23">
        <v>0</v>
      </c>
      <c r="P179" s="23">
        <v>0</v>
      </c>
      <c r="Q179" s="23">
        <v>0</v>
      </c>
      <c r="S179" s="28"/>
      <c r="T179" s="28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s="2" customFormat="1" x14ac:dyDescent="0.3">
      <c r="A180" s="1"/>
      <c r="B180" s="1"/>
      <c r="C180" s="1"/>
      <c r="E180" s="5" t="s">
        <v>49</v>
      </c>
      <c r="F180" s="10">
        <f>IFERROR((1-F179/F178),0)</f>
        <v>9.9999852508679932E-2</v>
      </c>
      <c r="G180" s="10">
        <f>IFERROR((1-G179/G178),0)</f>
        <v>0.13369571363411903</v>
      </c>
      <c r="H180" s="10">
        <f>IFERROR((1-H179/H178),0)</f>
        <v>0.16447827273554294</v>
      </c>
      <c r="I180" s="10">
        <f>IFERROR((1-I179/I178),0)</f>
        <v>0.14388401071637524</v>
      </c>
      <c r="J180" s="10">
        <f>IFERROR((1-J179/J178),0)</f>
        <v>0.10237012479423202</v>
      </c>
      <c r="K180" s="10">
        <f>IFERROR((1-K179/K178),0)</f>
        <v>0.62342813945896947</v>
      </c>
      <c r="L180" s="10">
        <f>IFERROR((1-L179/L178),0)</f>
        <v>0</v>
      </c>
      <c r="M180" s="10">
        <f>IFERROR((1-M179/M178),0)</f>
        <v>0</v>
      </c>
      <c r="N180" s="10">
        <f>IFERROR((1-N179/N178),0)</f>
        <v>0</v>
      </c>
      <c r="O180" s="10">
        <f>IFERROR((1-O179/O178),0)</f>
        <v>0</v>
      </c>
      <c r="P180" s="10">
        <f>IFERROR((1-P179/P178),0)</f>
        <v>0</v>
      </c>
      <c r="Q180" s="10">
        <f>IFERROR((1-Q179/Q178),0)</f>
        <v>0</v>
      </c>
      <c r="S180" s="28"/>
      <c r="T180" s="28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x14ac:dyDescent="0.3">
      <c r="E181" s="5" t="s">
        <v>3</v>
      </c>
      <c r="F181" s="8">
        <v>3</v>
      </c>
      <c r="G181" s="8">
        <v>5</v>
      </c>
      <c r="H181" s="8">
        <v>8</v>
      </c>
      <c r="I181" s="8">
        <v>2</v>
      </c>
      <c r="J181" s="8">
        <v>4</v>
      </c>
      <c r="K181" s="8">
        <v>6</v>
      </c>
      <c r="L181" s="8">
        <v>0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</row>
    <row r="182" spans="1:107" x14ac:dyDescent="0.3">
      <c r="E182" s="5" t="s">
        <v>2</v>
      </c>
      <c r="F182" s="24">
        <f>IFERROR(F178/F167,0)</f>
        <v>339.00299999999999</v>
      </c>
      <c r="G182" s="24">
        <f>IFERROR(G178/G167,0)</f>
        <v>340.10641025641024</v>
      </c>
      <c r="H182" s="24">
        <f>IFERROR(H178/H167,0)</f>
        <v>344.10782608695649</v>
      </c>
      <c r="I182" s="24">
        <f>IFERROR(I178/I167,0)</f>
        <v>363.7667391304347</v>
      </c>
      <c r="J182" s="24">
        <f>IFERROR(J178/J167,0)</f>
        <v>378.22260869565213</v>
      </c>
      <c r="K182" s="24">
        <f>IFERROR(K178/K167,0)</f>
        <v>308.84367346938774</v>
      </c>
      <c r="L182" s="24">
        <f>IFERROR(L178/L167,0)</f>
        <v>0</v>
      </c>
      <c r="M182" s="24">
        <f>IFERROR(M178/M167,0)</f>
        <v>0</v>
      </c>
      <c r="N182" s="24">
        <f>IFERROR(N178/N167,0)</f>
        <v>0</v>
      </c>
      <c r="O182" s="24">
        <f>IFERROR(O178/O167,0)</f>
        <v>0</v>
      </c>
      <c r="P182" s="24">
        <f>IFERROR(P178/P167,0)</f>
        <v>0</v>
      </c>
      <c r="Q182" s="24">
        <f>IFERROR(Q178/Q167,0)</f>
        <v>0</v>
      </c>
    </row>
    <row r="183" spans="1:107" x14ac:dyDescent="0.3">
      <c r="E183" s="5" t="s">
        <v>1</v>
      </c>
      <c r="F183" s="56">
        <v>0</v>
      </c>
      <c r="G183" s="56">
        <v>0</v>
      </c>
      <c r="H183" s="56">
        <v>0</v>
      </c>
      <c r="I183" s="56">
        <v>0</v>
      </c>
      <c r="J183" s="56">
        <v>0</v>
      </c>
      <c r="K183" s="56">
        <v>0</v>
      </c>
      <c r="L183" s="56">
        <v>0</v>
      </c>
      <c r="M183" s="56">
        <v>0</v>
      </c>
      <c r="N183" s="56">
        <v>0</v>
      </c>
      <c r="O183" s="56">
        <v>0</v>
      </c>
      <c r="P183" s="56">
        <v>0</v>
      </c>
      <c r="Q183" s="56">
        <v>0</v>
      </c>
    </row>
    <row r="184" spans="1:107" x14ac:dyDescent="0.3">
      <c r="E184" s="5" t="s">
        <v>0</v>
      </c>
      <c r="F184" s="56">
        <v>0</v>
      </c>
      <c r="G184" s="56">
        <v>0</v>
      </c>
      <c r="H184" s="56">
        <v>0</v>
      </c>
      <c r="I184" s="56">
        <v>0</v>
      </c>
      <c r="J184" s="56">
        <v>0</v>
      </c>
      <c r="K184" s="56">
        <v>0</v>
      </c>
      <c r="L184" s="56">
        <v>0</v>
      </c>
      <c r="M184" s="56">
        <v>0</v>
      </c>
      <c r="N184" s="56">
        <v>0</v>
      </c>
      <c r="O184" s="56">
        <v>0</v>
      </c>
      <c r="P184" s="56">
        <v>0</v>
      </c>
      <c r="Q184" s="56">
        <v>0</v>
      </c>
    </row>
    <row r="185" spans="1:107" ht="3.6" customHeight="1" x14ac:dyDescent="0.3">
      <c r="A185" s="2"/>
      <c r="B185" s="2"/>
      <c r="C185" s="2"/>
      <c r="E185" s="2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>
        <f>O262-P265+P278</f>
        <v>0</v>
      </c>
      <c r="Q185" s="29"/>
    </row>
    <row r="186" spans="1:107" s="2" customFormat="1" x14ac:dyDescent="0.3">
      <c r="A186" s="1"/>
      <c r="B186" s="1"/>
      <c r="C186" s="1"/>
      <c r="E186" s="54" t="s">
        <v>33</v>
      </c>
      <c r="F186" s="54" t="s">
        <v>32</v>
      </c>
      <c r="G186" s="54" t="s">
        <v>31</v>
      </c>
      <c r="H186" s="54" t="s">
        <v>30</v>
      </c>
      <c r="I186" s="54" t="s">
        <v>29</v>
      </c>
      <c r="J186" s="54" t="s">
        <v>28</v>
      </c>
      <c r="K186" s="54" t="s">
        <v>27</v>
      </c>
      <c r="L186" s="54" t="s">
        <v>26</v>
      </c>
      <c r="M186" s="54" t="s">
        <v>25</v>
      </c>
      <c r="N186" s="54" t="s">
        <v>24</v>
      </c>
      <c r="O186" s="54" t="s">
        <v>23</v>
      </c>
      <c r="P186" s="54" t="s">
        <v>22</v>
      </c>
      <c r="Q186" s="54" t="s">
        <v>21</v>
      </c>
      <c r="S186" s="28"/>
      <c r="T186" s="28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x14ac:dyDescent="0.3">
      <c r="E187" s="5" t="s">
        <v>20</v>
      </c>
      <c r="F187" s="8">
        <v>0</v>
      </c>
      <c r="G187" s="8">
        <v>0</v>
      </c>
      <c r="H187" s="8">
        <v>0</v>
      </c>
      <c r="I187" s="8">
        <v>0</v>
      </c>
      <c r="J187" s="8">
        <v>0</v>
      </c>
      <c r="K187" s="8">
        <v>0</v>
      </c>
      <c r="L187" s="8">
        <v>0</v>
      </c>
      <c r="M187" s="8">
        <v>0</v>
      </c>
      <c r="N187" s="8">
        <v>0</v>
      </c>
      <c r="O187" s="8">
        <v>0</v>
      </c>
      <c r="P187" s="8">
        <v>0</v>
      </c>
      <c r="Q187" s="8">
        <v>0</v>
      </c>
    </row>
    <row r="188" spans="1:107" s="2" customFormat="1" x14ac:dyDescent="0.3">
      <c r="A188" s="1"/>
      <c r="B188" s="1"/>
      <c r="C188" s="1"/>
      <c r="E188" s="5" t="s">
        <v>19</v>
      </c>
      <c r="F188" s="8">
        <f>SUM(F189:F190)</f>
        <v>207</v>
      </c>
      <c r="G188" s="8">
        <f>SUM(G189:G190)</f>
        <v>201</v>
      </c>
      <c r="H188" s="8">
        <f>SUM(H189:H190)</f>
        <v>193</v>
      </c>
      <c r="I188" s="8">
        <f>SUM(I189:I190)</f>
        <v>186</v>
      </c>
      <c r="J188" s="8">
        <f>SUM(J189:J190)</f>
        <v>187</v>
      </c>
      <c r="K188" s="8">
        <f>SUM(K189:K190)</f>
        <v>189</v>
      </c>
      <c r="L188" s="8">
        <f>SUM(L189:L190)</f>
        <v>0</v>
      </c>
      <c r="M188" s="8">
        <f>SUM(M189:M190)</f>
        <v>0</v>
      </c>
      <c r="N188" s="8">
        <f>SUM(N189:N190)</f>
        <v>0</v>
      </c>
      <c r="O188" s="8">
        <f>SUM(O189:O190)</f>
        <v>0</v>
      </c>
      <c r="P188" s="8">
        <f>SUM(P189:P190)</f>
        <v>0</v>
      </c>
      <c r="Q188" s="8">
        <f>SUM(Q189:Q190)</f>
        <v>0</v>
      </c>
      <c r="S188" s="28"/>
      <c r="T188" s="28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s="2" customFormat="1" x14ac:dyDescent="0.3">
      <c r="A189" s="1"/>
      <c r="B189" s="1"/>
      <c r="C189" s="1"/>
      <c r="E189" s="14" t="s">
        <v>41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8">
        <v>0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S189" s="28"/>
      <c r="T189" s="28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s="2" customFormat="1" x14ac:dyDescent="0.3">
      <c r="A190" s="1"/>
      <c r="B190" s="1"/>
      <c r="C190" s="1"/>
      <c r="E190" s="14" t="s">
        <v>40</v>
      </c>
      <c r="F190" s="8">
        <v>207</v>
      </c>
      <c r="G190" s="8">
        <v>201</v>
      </c>
      <c r="H190" s="8">
        <v>193</v>
      </c>
      <c r="I190" s="8">
        <v>186</v>
      </c>
      <c r="J190" s="8">
        <v>187</v>
      </c>
      <c r="K190" s="8">
        <v>189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S190" s="28"/>
      <c r="T190" s="28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s="2" customFormat="1" x14ac:dyDescent="0.3">
      <c r="A191" s="1"/>
      <c r="B191" s="1"/>
      <c r="C191" s="1"/>
      <c r="E191" s="5" t="s">
        <v>39</v>
      </c>
      <c r="F191" s="8">
        <f>SUM(F194:F198)</f>
        <v>13</v>
      </c>
      <c r="G191" s="8">
        <f>SUM(G194:G198)</f>
        <v>9</v>
      </c>
      <c r="H191" s="8">
        <f>SUM(H194:H198)</f>
        <v>10</v>
      </c>
      <c r="I191" s="8">
        <f>SUM(I194:I198)</f>
        <v>16</v>
      </c>
      <c r="J191" s="8">
        <f>SUM(J194:J198)</f>
        <v>7</v>
      </c>
      <c r="K191" s="8">
        <f>SUM(K194:K198)</f>
        <v>3</v>
      </c>
      <c r="L191" s="8">
        <f>SUM(L194:L198)</f>
        <v>0</v>
      </c>
      <c r="M191" s="8">
        <f>SUM(M194:M198)</f>
        <v>0</v>
      </c>
      <c r="N191" s="8">
        <f>SUM(N194:N198)</f>
        <v>0</v>
      </c>
      <c r="O191" s="8">
        <f>SUM(O194:O198)</f>
        <v>0</v>
      </c>
      <c r="P191" s="8">
        <f>SUM(P194:P198)</f>
        <v>0</v>
      </c>
      <c r="Q191" s="8">
        <f>SUM(Q194:Q198)</f>
        <v>0</v>
      </c>
      <c r="S191" s="28"/>
      <c r="T191" s="28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s="2" customFormat="1" x14ac:dyDescent="0.3">
      <c r="A192" s="1"/>
      <c r="B192" s="1"/>
      <c r="C192" s="1"/>
      <c r="E192" s="5" t="s">
        <v>15</v>
      </c>
      <c r="F192" s="8">
        <v>0</v>
      </c>
      <c r="G192" s="8">
        <v>0</v>
      </c>
      <c r="H192" s="8">
        <v>0</v>
      </c>
      <c r="I192" s="8">
        <v>0</v>
      </c>
      <c r="J192" s="8">
        <v>3</v>
      </c>
      <c r="K192" s="8">
        <v>0</v>
      </c>
      <c r="L192" s="8">
        <v>0</v>
      </c>
      <c r="M192" s="8">
        <v>0</v>
      </c>
      <c r="N192" s="8">
        <v>0</v>
      </c>
      <c r="O192" s="8">
        <v>0</v>
      </c>
      <c r="P192" s="8">
        <v>0</v>
      </c>
      <c r="Q192" s="8">
        <v>0</v>
      </c>
      <c r="S192" s="28"/>
      <c r="T192" s="28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s="2" customFormat="1" x14ac:dyDescent="0.3">
      <c r="A193" s="1"/>
      <c r="B193" s="1"/>
      <c r="C193" s="1"/>
      <c r="E193" s="5" t="s">
        <v>14</v>
      </c>
      <c r="F193" s="10">
        <f>IFERROR(F191/'Relatório Indicadores 25'!Q188,0)</f>
        <v>6.1032863849765258E-2</v>
      </c>
      <c r="G193" s="10">
        <f>IFERROR(G191/F188,0)</f>
        <v>4.3478260869565216E-2</v>
      </c>
      <c r="H193" s="10">
        <f>IFERROR(H191/G188,0)</f>
        <v>4.975124378109453E-2</v>
      </c>
      <c r="I193" s="10">
        <f>IFERROR(I191/H188,0)</f>
        <v>8.2901554404145081E-2</v>
      </c>
      <c r="J193" s="10">
        <f>IFERROR(J191/I188,0)</f>
        <v>3.7634408602150539E-2</v>
      </c>
      <c r="K193" s="10">
        <f>IFERROR(K191/J188,0)</f>
        <v>1.6042780748663103E-2</v>
      </c>
      <c r="L193" s="10">
        <f>IFERROR(L191/K188,0)</f>
        <v>0</v>
      </c>
      <c r="M193" s="10">
        <f>IFERROR(M191/L188,0)</f>
        <v>0</v>
      </c>
      <c r="N193" s="10">
        <f>IFERROR(N191/M188,0)</f>
        <v>0</v>
      </c>
      <c r="O193" s="10">
        <f>IFERROR(O191/N188,0)</f>
        <v>0</v>
      </c>
      <c r="P193" s="10">
        <f>IFERROR(P191/O188,0)</f>
        <v>0</v>
      </c>
      <c r="Q193" s="10">
        <f>IFERROR(Q191/P188,0)</f>
        <v>0</v>
      </c>
      <c r="S193" s="28"/>
      <c r="T193" s="28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s="2" customFormat="1" x14ac:dyDescent="0.3">
      <c r="A194" s="1"/>
      <c r="B194" s="1"/>
      <c r="C194" s="1"/>
      <c r="E194" s="5" t="s">
        <v>13</v>
      </c>
      <c r="F194" s="8">
        <v>6</v>
      </c>
      <c r="G194" s="8">
        <v>6</v>
      </c>
      <c r="H194" s="8">
        <v>2</v>
      </c>
      <c r="I194" s="8">
        <v>9</v>
      </c>
      <c r="J194" s="8">
        <v>2</v>
      </c>
      <c r="K194" s="8">
        <v>0</v>
      </c>
      <c r="L194" s="8">
        <v>0</v>
      </c>
      <c r="M194" s="8">
        <v>0</v>
      </c>
      <c r="N194" s="8">
        <v>0</v>
      </c>
      <c r="O194" s="8">
        <v>0</v>
      </c>
      <c r="P194" s="8">
        <v>0</v>
      </c>
      <c r="Q194" s="8">
        <v>0</v>
      </c>
      <c r="S194" s="28"/>
      <c r="T194" s="28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s="2" customFormat="1" x14ac:dyDescent="0.3">
      <c r="A195" s="1"/>
      <c r="B195" s="1"/>
      <c r="C195" s="1"/>
      <c r="E195" s="5" t="s">
        <v>12</v>
      </c>
      <c r="F195" s="8">
        <v>7</v>
      </c>
      <c r="G195" s="8">
        <v>3</v>
      </c>
      <c r="H195" s="8">
        <v>7</v>
      </c>
      <c r="I195" s="8">
        <v>5</v>
      </c>
      <c r="J195" s="8">
        <v>5</v>
      </c>
      <c r="K195" s="8">
        <v>3</v>
      </c>
      <c r="L195" s="8">
        <v>0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S195" s="28"/>
      <c r="T195" s="28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s="2" customFormat="1" x14ac:dyDescent="0.3">
      <c r="A196" s="1"/>
      <c r="B196" s="1"/>
      <c r="C196" s="1"/>
      <c r="E196" s="5" t="s">
        <v>11</v>
      </c>
      <c r="F196" s="8">
        <v>0</v>
      </c>
      <c r="G196" s="8">
        <v>0</v>
      </c>
      <c r="H196" s="8">
        <v>1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8">
        <v>0</v>
      </c>
      <c r="O196" s="8">
        <v>0</v>
      </c>
      <c r="P196" s="8">
        <v>0</v>
      </c>
      <c r="Q196" s="8">
        <v>0</v>
      </c>
      <c r="S196" s="28"/>
      <c r="T196" s="28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s="2" customFormat="1" x14ac:dyDescent="0.3">
      <c r="A197" s="1"/>
      <c r="B197" s="1"/>
      <c r="C197" s="1"/>
      <c r="E197" s="5" t="s">
        <v>50</v>
      </c>
      <c r="F197" s="42">
        <v>0</v>
      </c>
      <c r="G197" s="42">
        <v>0</v>
      </c>
      <c r="H197" s="42">
        <v>0</v>
      </c>
      <c r="I197" s="42">
        <v>0</v>
      </c>
      <c r="J197" s="42">
        <v>0</v>
      </c>
      <c r="K197" s="42">
        <v>0</v>
      </c>
      <c r="L197" s="42">
        <v>0</v>
      </c>
      <c r="M197" s="42">
        <v>0</v>
      </c>
      <c r="N197" s="42">
        <v>0</v>
      </c>
      <c r="O197" s="42">
        <v>0</v>
      </c>
      <c r="P197" s="42">
        <v>0</v>
      </c>
      <c r="Q197" s="42">
        <v>0</v>
      </c>
      <c r="S197" s="28"/>
      <c r="T197" s="28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s="2" customFormat="1" x14ac:dyDescent="0.3">
      <c r="A198" s="1"/>
      <c r="B198" s="1"/>
      <c r="C198" s="1"/>
      <c r="E198" s="5" t="s">
        <v>46</v>
      </c>
      <c r="F198" s="42">
        <v>0</v>
      </c>
      <c r="G198" s="42">
        <v>0</v>
      </c>
      <c r="H198" s="42">
        <v>0</v>
      </c>
      <c r="I198" s="42">
        <v>2</v>
      </c>
      <c r="J198" s="42">
        <v>0</v>
      </c>
      <c r="K198" s="42">
        <v>0</v>
      </c>
      <c r="L198" s="42">
        <v>0</v>
      </c>
      <c r="M198" s="42">
        <v>0</v>
      </c>
      <c r="N198" s="42">
        <v>0</v>
      </c>
      <c r="O198" s="42">
        <v>0</v>
      </c>
      <c r="P198" s="42">
        <v>0</v>
      </c>
      <c r="Q198" s="42">
        <v>0</v>
      </c>
      <c r="S198" s="28"/>
      <c r="T198" s="28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s="2" customFormat="1" x14ac:dyDescent="0.3">
      <c r="A199" s="1"/>
      <c r="B199" s="1"/>
      <c r="C199" s="1"/>
      <c r="E199" s="5" t="s">
        <v>6</v>
      </c>
      <c r="F199" s="23">
        <v>67861.720000000016</v>
      </c>
      <c r="G199" s="23">
        <v>66588.999999999985</v>
      </c>
      <c r="H199" s="23">
        <v>64288.679999999971</v>
      </c>
      <c r="I199" s="23">
        <v>61216.6</v>
      </c>
      <c r="J199" s="23">
        <v>61593.950000000012</v>
      </c>
      <c r="K199" s="23">
        <v>36842.390000000014</v>
      </c>
      <c r="L199" s="23">
        <v>0</v>
      </c>
      <c r="M199" s="23">
        <v>0</v>
      </c>
      <c r="N199" s="23">
        <v>0</v>
      </c>
      <c r="O199" s="23">
        <v>0</v>
      </c>
      <c r="P199" s="23">
        <v>0</v>
      </c>
      <c r="Q199" s="23">
        <v>0</v>
      </c>
      <c r="S199" s="28"/>
      <c r="T199" s="28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s="2" customFormat="1" x14ac:dyDescent="0.3">
      <c r="A200" s="1"/>
      <c r="B200" s="1"/>
      <c r="C200" s="1"/>
      <c r="E200" s="5" t="s">
        <v>5</v>
      </c>
      <c r="F200" s="23">
        <v>61736.330000000009</v>
      </c>
      <c r="G200" s="23">
        <v>58867.729999999981</v>
      </c>
      <c r="H200" s="23">
        <v>57114.349999999969</v>
      </c>
      <c r="I200" s="23">
        <v>56245.59</v>
      </c>
      <c r="J200" s="23">
        <v>56192.430000000015</v>
      </c>
      <c r="K200" s="23">
        <v>17930.120000000006</v>
      </c>
      <c r="L200" s="23">
        <v>0</v>
      </c>
      <c r="M200" s="23">
        <v>0</v>
      </c>
      <c r="N200" s="23">
        <v>0</v>
      </c>
      <c r="O200" s="23">
        <v>0</v>
      </c>
      <c r="P200" s="23">
        <v>0</v>
      </c>
      <c r="Q200" s="23">
        <v>0</v>
      </c>
      <c r="S200" s="28"/>
      <c r="T200" s="28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s="2" customFormat="1" x14ac:dyDescent="0.3">
      <c r="A201" s="1"/>
      <c r="B201" s="1"/>
      <c r="C201" s="1"/>
      <c r="E201" s="5" t="s">
        <v>49</v>
      </c>
      <c r="F201" s="10">
        <f>IFERROR((1-F200/F199),0)</f>
        <v>9.0262816798631129E-2</v>
      </c>
      <c r="G201" s="10">
        <f>IFERROR((1-G200/G199),0)</f>
        <v>0.11595413656910314</v>
      </c>
      <c r="H201" s="10">
        <f>IFERROR((1-H200/H199),0)</f>
        <v>0.1115955406146153</v>
      </c>
      <c r="I201" s="10">
        <f>IFERROR((1-I200/I199),0)</f>
        <v>8.1203627774165899E-2</v>
      </c>
      <c r="J201" s="10">
        <f>IFERROR((1-J200/J199),0)</f>
        <v>8.7695625950275913E-2</v>
      </c>
      <c r="K201" s="10">
        <f>IFERROR((1-K200/K199),0)</f>
        <v>0.51332907555671614</v>
      </c>
      <c r="L201" s="10">
        <f>IFERROR((1-L200/L199),0)</f>
        <v>0</v>
      </c>
      <c r="M201" s="10">
        <f>IFERROR((1-M200/M199),0)</f>
        <v>0</v>
      </c>
      <c r="N201" s="10">
        <f>IFERROR((1-N200/N199),0)</f>
        <v>0</v>
      </c>
      <c r="O201" s="10">
        <f>IFERROR((1-O200/O199),0)</f>
        <v>0</v>
      </c>
      <c r="P201" s="10">
        <f>IFERROR((1-P200/P199),0)</f>
        <v>0</v>
      </c>
      <c r="Q201" s="10">
        <f>IFERROR((1-Q200/Q199),0)</f>
        <v>0</v>
      </c>
      <c r="S201" s="28"/>
      <c r="T201" s="28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s="2" customFormat="1" x14ac:dyDescent="0.3">
      <c r="A202" s="1"/>
      <c r="B202" s="1"/>
      <c r="C202" s="1"/>
      <c r="E202" s="5" t="s">
        <v>3</v>
      </c>
      <c r="F202" s="8">
        <v>8</v>
      </c>
      <c r="G202" s="8">
        <v>3</v>
      </c>
      <c r="H202" s="8">
        <v>2</v>
      </c>
      <c r="I202" s="8">
        <v>6</v>
      </c>
      <c r="J202" s="8">
        <v>8</v>
      </c>
      <c r="K202" s="8">
        <v>5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S202" s="28"/>
      <c r="T202" s="28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s="2" customFormat="1" x14ac:dyDescent="0.3">
      <c r="A203" s="1"/>
      <c r="B203" s="1"/>
      <c r="C203" s="1"/>
      <c r="E203" s="5" t="s">
        <v>2</v>
      </c>
      <c r="F203" s="24">
        <f>IFERROR(F199/F188,0)</f>
        <v>327.83439613526576</v>
      </c>
      <c r="G203" s="24">
        <f>IFERROR(G199/G188,0)</f>
        <v>331.28855721393029</v>
      </c>
      <c r="H203" s="24">
        <f>IFERROR(H199/H188,0)</f>
        <v>333.10196891191697</v>
      </c>
      <c r="I203" s="24">
        <f>IFERROR(I199/I188,0)</f>
        <v>329.12150537634409</v>
      </c>
      <c r="J203" s="24">
        <f>IFERROR(J199/J188,0)</f>
        <v>329.37941176470594</v>
      </c>
      <c r="K203" s="24">
        <f>IFERROR(K199/K188,0)</f>
        <v>194.93328042328051</v>
      </c>
      <c r="L203" s="24">
        <f>IFERROR(L199/L188,0)</f>
        <v>0</v>
      </c>
      <c r="M203" s="24">
        <f>IFERROR(M199/M188,0)</f>
        <v>0</v>
      </c>
      <c r="N203" s="24">
        <f>IFERROR(N199/N188,0)</f>
        <v>0</v>
      </c>
      <c r="O203" s="24">
        <f>IFERROR(O199/O188,0)</f>
        <v>0</v>
      </c>
      <c r="P203" s="24">
        <f>IFERROR(P199/P188,0)</f>
        <v>0</v>
      </c>
      <c r="Q203" s="24">
        <f>IFERROR(Q199/Q188,0)</f>
        <v>0</v>
      </c>
      <c r="S203" s="28"/>
      <c r="T203" s="28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s="2" customFormat="1" x14ac:dyDescent="0.3">
      <c r="A204" s="1"/>
      <c r="B204" s="1"/>
      <c r="C204" s="1"/>
      <c r="E204" s="5" t="s">
        <v>1</v>
      </c>
      <c r="F204" s="56">
        <v>0</v>
      </c>
      <c r="G204" s="56">
        <v>0</v>
      </c>
      <c r="H204" s="56">
        <v>0</v>
      </c>
      <c r="I204" s="56">
        <v>0</v>
      </c>
      <c r="J204" s="56">
        <v>0</v>
      </c>
      <c r="K204" s="56">
        <v>0</v>
      </c>
      <c r="L204" s="56">
        <v>0</v>
      </c>
      <c r="M204" s="56">
        <v>0</v>
      </c>
      <c r="N204" s="56">
        <v>0</v>
      </c>
      <c r="O204" s="56">
        <v>0</v>
      </c>
      <c r="P204" s="56">
        <v>0</v>
      </c>
      <c r="Q204" s="56">
        <v>0</v>
      </c>
      <c r="S204" s="28"/>
      <c r="T204" s="28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s="2" customFormat="1" x14ac:dyDescent="0.3">
      <c r="A205" s="1"/>
      <c r="B205" s="1"/>
      <c r="C205" s="1"/>
      <c r="E205" s="5" t="s">
        <v>0</v>
      </c>
      <c r="F205" s="56">
        <v>0</v>
      </c>
      <c r="G205" s="56">
        <v>0</v>
      </c>
      <c r="H205" s="56">
        <v>0</v>
      </c>
      <c r="I205" s="56">
        <v>0</v>
      </c>
      <c r="J205" s="56">
        <v>0</v>
      </c>
      <c r="K205" s="56">
        <v>0</v>
      </c>
      <c r="L205" s="56">
        <v>0</v>
      </c>
      <c r="M205" s="56">
        <v>0</v>
      </c>
      <c r="N205" s="56">
        <v>0</v>
      </c>
      <c r="O205" s="56">
        <v>0</v>
      </c>
      <c r="P205" s="56">
        <v>0</v>
      </c>
      <c r="Q205" s="56">
        <v>0</v>
      </c>
      <c r="S205" s="28"/>
      <c r="T205" s="28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s="2" customFormat="1" ht="2.4" customHeight="1" x14ac:dyDescent="0.3">
      <c r="F206" s="55"/>
      <c r="G206" s="55"/>
      <c r="H206" s="55"/>
      <c r="I206" s="61"/>
      <c r="J206" s="55"/>
      <c r="K206" s="60"/>
      <c r="L206" s="29"/>
      <c r="M206" s="29"/>
      <c r="N206" s="29"/>
      <c r="O206" s="29"/>
      <c r="P206" s="29"/>
      <c r="Q206" s="29"/>
      <c r="S206" s="28"/>
      <c r="T206" s="28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s="2" customFormat="1" hidden="1" x14ac:dyDescent="0.3">
      <c r="F207" s="55">
        <v>174</v>
      </c>
      <c r="G207" s="55" t="e">
        <v>#REF!</v>
      </c>
      <c r="H207" s="55" t="e">
        <f>G146-H149+#REF!</f>
        <v>#REF!</v>
      </c>
      <c r="I207" s="55" t="e">
        <f>H146-I149+#REF!</f>
        <v>#REF!</v>
      </c>
      <c r="J207" s="55" t="e">
        <f>I146-J149+#REF!</f>
        <v>#REF!</v>
      </c>
      <c r="K207" s="55" t="e">
        <v>#REF!</v>
      </c>
      <c r="L207" s="55">
        <f>K146-L149+L160</f>
        <v>1300</v>
      </c>
      <c r="M207" s="55">
        <f>L146-M149+M160</f>
        <v>0</v>
      </c>
      <c r="N207" s="55">
        <f>M146-N149+N160</f>
        <v>0</v>
      </c>
      <c r="O207" s="55">
        <f>N146-O149+O160</f>
        <v>0</v>
      </c>
      <c r="P207" s="55">
        <f>O146-P149+P160</f>
        <v>0</v>
      </c>
      <c r="Q207" s="29"/>
      <c r="S207" s="28"/>
      <c r="T207" s="28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s="2" customFormat="1" hidden="1" x14ac:dyDescent="0.3">
      <c r="F208" s="55">
        <f>F146-F207</f>
        <v>677</v>
      </c>
      <c r="G208" s="55" t="e">
        <v>#REF!</v>
      </c>
      <c r="H208" s="55" t="e">
        <f>H146-H207</f>
        <v>#REF!</v>
      </c>
      <c r="I208" s="55" t="e">
        <f>I146-I207</f>
        <v>#REF!</v>
      </c>
      <c r="J208" s="55" t="e">
        <f>J146-J207</f>
        <v>#REF!</v>
      </c>
      <c r="K208" s="55" t="e">
        <v>#REF!</v>
      </c>
      <c r="L208" s="55">
        <f>L146-L207</f>
        <v>-1300</v>
      </c>
      <c r="M208" s="55">
        <f>M146-M207</f>
        <v>0</v>
      </c>
      <c r="N208" s="55">
        <f>N146-N207</f>
        <v>0</v>
      </c>
      <c r="O208" s="55">
        <f>O146-O207</f>
        <v>0</v>
      </c>
      <c r="P208" s="55">
        <f>P146-P207</f>
        <v>0</v>
      </c>
      <c r="Q208" s="29"/>
      <c r="S208" s="28"/>
      <c r="T208" s="28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s="2" customFormat="1" hidden="1" x14ac:dyDescent="0.3">
      <c r="F209" s="55"/>
      <c r="G209" s="55"/>
      <c r="H209" s="55"/>
      <c r="I209" s="55">
        <f>H282-I285+I296</f>
        <v>18</v>
      </c>
      <c r="J209" s="55">
        <f>I282-J285+J296</f>
        <v>18</v>
      </c>
      <c r="K209" s="55">
        <v>23</v>
      </c>
      <c r="L209" s="55">
        <f>K282-L285+L296</f>
        <v>18</v>
      </c>
      <c r="M209" s="55">
        <f>L282-M285+M296</f>
        <v>0</v>
      </c>
      <c r="N209" s="55">
        <f>M282-N285+N296</f>
        <v>0</v>
      </c>
      <c r="O209" s="55">
        <f>N282-O285+O296</f>
        <v>0</v>
      </c>
      <c r="P209" s="55">
        <f>O282-P285+P296</f>
        <v>0</v>
      </c>
      <c r="Q209" s="29"/>
      <c r="S209" s="28"/>
      <c r="T209" s="28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s="2" customFormat="1" hidden="1" x14ac:dyDescent="0.3">
      <c r="F210" s="55"/>
      <c r="G210" s="55"/>
      <c r="H210" s="55"/>
      <c r="I210" s="55">
        <f>I282-I209</f>
        <v>0</v>
      </c>
      <c r="J210" s="55">
        <f>J282-J209</f>
        <v>0</v>
      </c>
      <c r="K210" s="55">
        <v>0</v>
      </c>
      <c r="L210" s="55">
        <f>L282-L209</f>
        <v>-18</v>
      </c>
      <c r="M210" s="55">
        <f>M282-M209</f>
        <v>0</v>
      </c>
      <c r="N210" s="55">
        <f>N282-N209</f>
        <v>0</v>
      </c>
      <c r="O210" s="55">
        <f>O282-O209</f>
        <v>0</v>
      </c>
      <c r="P210" s="55">
        <f>P282-P209</f>
        <v>0</v>
      </c>
      <c r="Q210" s="29"/>
      <c r="S210" s="28"/>
      <c r="T210" s="28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s="2" customFormat="1" ht="1.2" customHeight="1" x14ac:dyDescent="0.3">
      <c r="F211" s="55"/>
      <c r="G211" s="55"/>
      <c r="H211" s="55"/>
      <c r="I211" s="61"/>
      <c r="J211" s="55"/>
      <c r="K211" s="60"/>
      <c r="L211" s="29"/>
      <c r="M211" s="29"/>
      <c r="N211" s="29"/>
      <c r="O211" s="29"/>
      <c r="P211" s="29"/>
      <c r="Q211" s="29"/>
      <c r="S211" s="28"/>
      <c r="T211" s="28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s="2" customFormat="1" x14ac:dyDescent="0.3">
      <c r="A212" s="1"/>
      <c r="B212" s="1"/>
      <c r="C212" s="1"/>
      <c r="E212" s="54" t="s">
        <v>33</v>
      </c>
      <c r="F212" s="54" t="s">
        <v>32</v>
      </c>
      <c r="G212" s="54" t="s">
        <v>31</v>
      </c>
      <c r="H212" s="54" t="s">
        <v>30</v>
      </c>
      <c r="I212" s="54" t="s">
        <v>29</v>
      </c>
      <c r="J212" s="54" t="s">
        <v>28</v>
      </c>
      <c r="K212" s="54" t="s">
        <v>27</v>
      </c>
      <c r="L212" s="54" t="s">
        <v>26</v>
      </c>
      <c r="M212" s="54" t="s">
        <v>25</v>
      </c>
      <c r="N212" s="54" t="s">
        <v>24</v>
      </c>
      <c r="O212" s="54" t="s">
        <v>23</v>
      </c>
      <c r="P212" s="54" t="s">
        <v>22</v>
      </c>
      <c r="Q212" s="54" t="s">
        <v>21</v>
      </c>
      <c r="S212" s="28"/>
      <c r="T212" s="28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x14ac:dyDescent="0.3">
      <c r="E213" s="5" t="s">
        <v>20</v>
      </c>
      <c r="F213" s="8">
        <v>0</v>
      </c>
      <c r="G213" s="8">
        <v>0</v>
      </c>
      <c r="H213" s="8">
        <v>0</v>
      </c>
      <c r="I213" s="8">
        <v>0</v>
      </c>
      <c r="J213" s="8">
        <v>0</v>
      </c>
      <c r="K213" s="8">
        <v>0</v>
      </c>
      <c r="L213" s="8">
        <v>0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</row>
    <row r="214" spans="1:107" s="2" customFormat="1" x14ac:dyDescent="0.3">
      <c r="A214" s="1"/>
      <c r="B214" s="1"/>
      <c r="C214" s="1"/>
      <c r="E214" s="5" t="s">
        <v>19</v>
      </c>
      <c r="F214" s="8">
        <f>SUM(F215:F216)</f>
        <v>26</v>
      </c>
      <c r="G214" s="8">
        <f>SUM(G215:G216)</f>
        <v>25</v>
      </c>
      <c r="H214" s="8">
        <f>SUM(H215:H216)</f>
        <v>26</v>
      </c>
      <c r="I214" s="8">
        <f>SUM(I215:I216)</f>
        <v>28</v>
      </c>
      <c r="J214" s="8">
        <f>SUM(J215:J216)</f>
        <v>34</v>
      </c>
      <c r="K214" s="8">
        <f>SUM(K215:K216)</f>
        <v>45</v>
      </c>
      <c r="L214" s="8">
        <f>SUM(L215:L216)</f>
        <v>0</v>
      </c>
      <c r="M214" s="8">
        <f>SUM(M215:M216)</f>
        <v>0</v>
      </c>
      <c r="N214" s="8">
        <f>SUM(N215:N216)</f>
        <v>0</v>
      </c>
      <c r="O214" s="8">
        <f>SUM(O215:O216)</f>
        <v>0</v>
      </c>
      <c r="P214" s="8">
        <f>SUM(P215:P216)</f>
        <v>0</v>
      </c>
      <c r="Q214" s="8">
        <f>SUM(Q215:Q216)</f>
        <v>0</v>
      </c>
      <c r="S214" s="28"/>
      <c r="T214" s="28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s="2" customFormat="1" x14ac:dyDescent="0.3">
      <c r="A215" s="1"/>
      <c r="B215" s="1"/>
      <c r="C215" s="1"/>
      <c r="E215" s="14" t="s">
        <v>41</v>
      </c>
      <c r="F215" s="8">
        <v>0</v>
      </c>
      <c r="G215" s="8">
        <v>0</v>
      </c>
      <c r="H215" s="8">
        <v>0</v>
      </c>
      <c r="I215" s="8">
        <v>0</v>
      </c>
      <c r="J215" s="8">
        <v>0</v>
      </c>
      <c r="K215" s="8">
        <v>0</v>
      </c>
      <c r="L215" s="8">
        <v>0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S215" s="28"/>
      <c r="T215" s="28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s="2" customFormat="1" x14ac:dyDescent="0.3">
      <c r="A216" s="1"/>
      <c r="B216" s="1"/>
      <c r="C216" s="1"/>
      <c r="E216" s="14" t="s">
        <v>40</v>
      </c>
      <c r="F216" s="8">
        <v>26</v>
      </c>
      <c r="G216" s="8">
        <v>25</v>
      </c>
      <c r="H216" s="8">
        <v>26</v>
      </c>
      <c r="I216" s="8">
        <v>28</v>
      </c>
      <c r="J216" s="8">
        <v>34</v>
      </c>
      <c r="K216" s="8">
        <v>45</v>
      </c>
      <c r="L216" s="8">
        <v>0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S216" s="28"/>
      <c r="T216" s="28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s="2" customFormat="1" x14ac:dyDescent="0.3">
      <c r="A217" s="1"/>
      <c r="B217" s="1"/>
      <c r="C217" s="1"/>
      <c r="E217" s="5" t="s">
        <v>39</v>
      </c>
      <c r="F217" s="8">
        <f>SUM(F220:F224)</f>
        <v>1</v>
      </c>
      <c r="G217" s="8">
        <f>SUM(G220:G224)</f>
        <v>2</v>
      </c>
      <c r="H217" s="8">
        <f>SUM(H220:H224)</f>
        <v>2</v>
      </c>
      <c r="I217" s="8">
        <f>SUM(I220:I224)</f>
        <v>2</v>
      </c>
      <c r="J217" s="8">
        <f>SUM(J220:J224)</f>
        <v>3</v>
      </c>
      <c r="K217" s="8">
        <f>SUM(K220:K224)</f>
        <v>1</v>
      </c>
      <c r="L217" s="8">
        <f>SUM(L220:L224)</f>
        <v>0</v>
      </c>
      <c r="M217" s="8">
        <f>SUM(M220:M224)</f>
        <v>0</v>
      </c>
      <c r="N217" s="8">
        <f>SUM(N220:N224)</f>
        <v>0</v>
      </c>
      <c r="O217" s="8">
        <f>SUM(O220:O224)</f>
        <v>0</v>
      </c>
      <c r="P217" s="8">
        <f>SUM(P220:P224)</f>
        <v>0</v>
      </c>
      <c r="Q217" s="8">
        <f>SUM(Q220:Q224)</f>
        <v>0</v>
      </c>
      <c r="S217" s="28"/>
      <c r="T217" s="28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s="2" customFormat="1" x14ac:dyDescent="0.3">
      <c r="A218" s="1"/>
      <c r="B218" s="1"/>
      <c r="C218" s="1"/>
      <c r="E218" s="5" t="s">
        <v>15</v>
      </c>
      <c r="F218" s="8">
        <v>0</v>
      </c>
      <c r="G218" s="8">
        <v>0</v>
      </c>
      <c r="H218" s="8">
        <v>0</v>
      </c>
      <c r="I218" s="8">
        <v>0</v>
      </c>
      <c r="J218" s="8">
        <v>0</v>
      </c>
      <c r="K218" s="8">
        <v>0</v>
      </c>
      <c r="L218" s="8">
        <v>0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S218" s="28"/>
      <c r="T218" s="28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s="2" customFormat="1" x14ac:dyDescent="0.3">
      <c r="A219" s="1"/>
      <c r="B219" s="1"/>
      <c r="C219" s="1"/>
      <c r="E219" s="5" t="s">
        <v>14</v>
      </c>
      <c r="F219" s="10">
        <f>IFERROR(F217/'Relatório Indicadores 25'!Q214,0)</f>
        <v>4.5454545454545456E-2</v>
      </c>
      <c r="G219" s="10">
        <f>IFERROR(G217/F214,0)</f>
        <v>7.6923076923076927E-2</v>
      </c>
      <c r="H219" s="10">
        <f>IFERROR(H217/G214,0)</f>
        <v>0.08</v>
      </c>
      <c r="I219" s="10">
        <f>IFERROR(I217/H214,0)</f>
        <v>7.6923076923076927E-2</v>
      </c>
      <c r="J219" s="10">
        <f>IFERROR(J217/I214,0)</f>
        <v>0.10714285714285714</v>
      </c>
      <c r="K219" s="10">
        <f>IFERROR(K217/J214,0)</f>
        <v>2.9411764705882353E-2</v>
      </c>
      <c r="L219" s="10">
        <f>IFERROR(L217/K214,0)</f>
        <v>0</v>
      </c>
      <c r="M219" s="10">
        <f>IFERROR(M217/L214,0)</f>
        <v>0</v>
      </c>
      <c r="N219" s="10">
        <f>IFERROR(N217/M214,0)</f>
        <v>0</v>
      </c>
      <c r="O219" s="10">
        <f>IFERROR(O217/N214,0)</f>
        <v>0</v>
      </c>
      <c r="P219" s="10">
        <f>IFERROR(P217/O214,0)</f>
        <v>0</v>
      </c>
      <c r="Q219" s="10">
        <f>IFERROR(Q217/P214,0)</f>
        <v>0</v>
      </c>
      <c r="S219" s="28"/>
      <c r="T219" s="28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s="2" customFormat="1" x14ac:dyDescent="0.3">
      <c r="A220" s="1"/>
      <c r="B220" s="1"/>
      <c r="C220" s="1"/>
      <c r="E220" s="5" t="s">
        <v>13</v>
      </c>
      <c r="F220" s="8">
        <v>1</v>
      </c>
      <c r="G220" s="8">
        <v>2</v>
      </c>
      <c r="H220" s="8">
        <v>2</v>
      </c>
      <c r="I220" s="8">
        <v>2</v>
      </c>
      <c r="J220" s="8">
        <v>2</v>
      </c>
      <c r="K220" s="8">
        <v>1</v>
      </c>
      <c r="L220" s="8">
        <v>0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S220" s="28"/>
      <c r="T220" s="28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s="2" customFormat="1" x14ac:dyDescent="0.3">
      <c r="A221" s="1"/>
      <c r="B221" s="1"/>
      <c r="C221" s="1"/>
      <c r="E221" s="5" t="s">
        <v>12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S221" s="28"/>
      <c r="T221" s="28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s="2" customFormat="1" x14ac:dyDescent="0.3">
      <c r="A222" s="1"/>
      <c r="B222" s="1"/>
      <c r="C222" s="1"/>
      <c r="E222" s="5" t="s">
        <v>11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0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S222" s="28"/>
      <c r="T222" s="28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s="2" customFormat="1" x14ac:dyDescent="0.3">
      <c r="A223" s="1"/>
      <c r="B223" s="1"/>
      <c r="C223" s="1"/>
      <c r="E223" s="5" t="s">
        <v>50</v>
      </c>
      <c r="F223" s="42">
        <v>0</v>
      </c>
      <c r="G223" s="42">
        <v>0</v>
      </c>
      <c r="H223" s="42">
        <v>0</v>
      </c>
      <c r="I223" s="42">
        <v>0</v>
      </c>
      <c r="J223" s="42">
        <v>0</v>
      </c>
      <c r="K223" s="42">
        <v>0</v>
      </c>
      <c r="L223" s="42">
        <v>0</v>
      </c>
      <c r="M223" s="42">
        <v>0</v>
      </c>
      <c r="N223" s="42">
        <v>0</v>
      </c>
      <c r="O223" s="42">
        <v>0</v>
      </c>
      <c r="P223" s="42">
        <v>0</v>
      </c>
      <c r="Q223" s="42">
        <v>0</v>
      </c>
      <c r="S223" s="28"/>
      <c r="T223" s="28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s="2" customFormat="1" x14ac:dyDescent="0.3">
      <c r="A224" s="1"/>
      <c r="B224" s="1"/>
      <c r="C224" s="1"/>
      <c r="E224" s="5" t="s">
        <v>46</v>
      </c>
      <c r="F224" s="42">
        <v>0</v>
      </c>
      <c r="G224" s="42">
        <v>0</v>
      </c>
      <c r="H224" s="42">
        <v>0</v>
      </c>
      <c r="I224" s="42">
        <v>0</v>
      </c>
      <c r="J224" s="42">
        <v>1</v>
      </c>
      <c r="K224" s="42">
        <v>0</v>
      </c>
      <c r="L224" s="42">
        <v>0</v>
      </c>
      <c r="M224" s="42">
        <v>0</v>
      </c>
      <c r="N224" s="42">
        <v>0</v>
      </c>
      <c r="O224" s="42">
        <v>0</v>
      </c>
      <c r="P224" s="42">
        <v>0</v>
      </c>
      <c r="Q224" s="42">
        <v>0</v>
      </c>
      <c r="S224" s="28"/>
      <c r="T224" s="28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s="2" customFormat="1" x14ac:dyDescent="0.3">
      <c r="A225" s="1"/>
      <c r="B225" s="1"/>
      <c r="C225" s="1"/>
      <c r="E225" s="5" t="s">
        <v>6</v>
      </c>
      <c r="F225" s="23">
        <v>5571.01</v>
      </c>
      <c r="G225" s="23">
        <v>5384.6599999999989</v>
      </c>
      <c r="H225" s="23">
        <v>5849.82</v>
      </c>
      <c r="I225" s="23">
        <v>6292.2699999999986</v>
      </c>
      <c r="J225" s="23">
        <v>7667.5399999999991</v>
      </c>
      <c r="K225" s="23">
        <v>5833.03</v>
      </c>
      <c r="L225" s="23">
        <v>0</v>
      </c>
      <c r="M225" s="23">
        <v>0</v>
      </c>
      <c r="N225" s="23">
        <v>0</v>
      </c>
      <c r="O225" s="23">
        <v>0</v>
      </c>
      <c r="P225" s="23">
        <v>0</v>
      </c>
      <c r="Q225" s="23">
        <v>0</v>
      </c>
      <c r="S225" s="28"/>
      <c r="T225" s="28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s="2" customFormat="1" x14ac:dyDescent="0.3">
      <c r="A226" s="1"/>
      <c r="B226" s="1"/>
      <c r="C226" s="1"/>
      <c r="E226" s="5" t="s">
        <v>5</v>
      </c>
      <c r="F226" s="23">
        <v>3814.04</v>
      </c>
      <c r="G226" s="23">
        <v>4598.8399999999992</v>
      </c>
      <c r="H226" s="23">
        <v>4907.24</v>
      </c>
      <c r="I226" s="23">
        <v>5871.869999999999</v>
      </c>
      <c r="J226" s="23">
        <v>7095.3499999999985</v>
      </c>
      <c r="K226" s="23">
        <v>2958.8199999999997</v>
      </c>
      <c r="L226" s="23">
        <v>0</v>
      </c>
      <c r="M226" s="23">
        <v>0</v>
      </c>
      <c r="N226" s="23">
        <v>0</v>
      </c>
      <c r="O226" s="23">
        <v>0</v>
      </c>
      <c r="P226" s="23">
        <v>0</v>
      </c>
      <c r="Q226" s="23">
        <v>0</v>
      </c>
      <c r="S226" s="28"/>
      <c r="T226" s="28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s="2" customFormat="1" x14ac:dyDescent="0.3">
      <c r="A227" s="1"/>
      <c r="B227" s="1"/>
      <c r="C227" s="1"/>
      <c r="E227" s="5" t="s">
        <v>49</v>
      </c>
      <c r="F227" s="10">
        <f>IFERROR((1-F226/F225),0)</f>
        <v>0.31537728347283533</v>
      </c>
      <c r="G227" s="10">
        <f>IFERROR((1-G226/G225),0)</f>
        <v>0.14593679080944755</v>
      </c>
      <c r="H227" s="10">
        <f>IFERROR((1-H226/H225),0)</f>
        <v>0.16112974416306824</v>
      </c>
      <c r="I227" s="10">
        <f>IFERROR((1-I226/I225),0)</f>
        <v>6.6812136160717794E-2</v>
      </c>
      <c r="J227" s="10">
        <f>IFERROR((1-J226/J225),0)</f>
        <v>7.4624977502562806E-2</v>
      </c>
      <c r="K227" s="10">
        <f>IFERROR((1-K226/K225),0)</f>
        <v>0.49274733714724595</v>
      </c>
      <c r="L227" s="10">
        <f>IFERROR((1-L226/L225),0)</f>
        <v>0</v>
      </c>
      <c r="M227" s="10">
        <f>IFERROR((1-M226/M225),0)</f>
        <v>0</v>
      </c>
      <c r="N227" s="10">
        <f>IFERROR((1-N226/N225),0)</f>
        <v>0</v>
      </c>
      <c r="O227" s="10">
        <f>IFERROR((1-O226/O225),0)</f>
        <v>0</v>
      </c>
      <c r="P227" s="10">
        <f>IFERROR((1-P226/P225),0)</f>
        <v>0</v>
      </c>
      <c r="Q227" s="10">
        <f>IFERROR((1-Q226/Q225),0)</f>
        <v>0</v>
      </c>
      <c r="S227" s="28"/>
      <c r="T227" s="28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s="2" customFormat="1" x14ac:dyDescent="0.3">
      <c r="A228" s="1"/>
      <c r="B228" s="1"/>
      <c r="C228" s="1"/>
      <c r="E228" s="5" t="s">
        <v>3</v>
      </c>
      <c r="F228" s="8">
        <v>5</v>
      </c>
      <c r="G228" s="8">
        <v>1</v>
      </c>
      <c r="H228" s="8">
        <v>3</v>
      </c>
      <c r="I228" s="8">
        <v>4</v>
      </c>
      <c r="J228" s="8">
        <v>8</v>
      </c>
      <c r="K228" s="8">
        <v>12</v>
      </c>
      <c r="L228" s="8">
        <v>0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S228" s="28"/>
      <c r="T228" s="28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s="2" customFormat="1" x14ac:dyDescent="0.3">
      <c r="A229" s="1"/>
      <c r="B229" s="1"/>
      <c r="C229" s="1"/>
      <c r="E229" s="5" t="s">
        <v>2</v>
      </c>
      <c r="F229" s="24">
        <f>IFERROR(F225/F214,0)</f>
        <v>214.26961538461541</v>
      </c>
      <c r="G229" s="24">
        <f>IFERROR(G225/G214,0)</f>
        <v>215.38639999999995</v>
      </c>
      <c r="H229" s="24">
        <f>IFERROR(H225/H214,0)</f>
        <v>224.9930769230769</v>
      </c>
      <c r="I229" s="24">
        <f>IFERROR(I225/I214,0)</f>
        <v>224.72392857142853</v>
      </c>
      <c r="J229" s="24">
        <f>IFERROR(J225/J214,0)</f>
        <v>225.51588235294116</v>
      </c>
      <c r="K229" s="24">
        <f>IFERROR(K225/K214,0)</f>
        <v>129.62288888888889</v>
      </c>
      <c r="L229" s="24">
        <f>IFERROR(L225/L214,0)</f>
        <v>0</v>
      </c>
      <c r="M229" s="24">
        <f>IFERROR(M225/M214,0)</f>
        <v>0</v>
      </c>
      <c r="N229" s="24">
        <f>IFERROR(N225/N214,0)</f>
        <v>0</v>
      </c>
      <c r="O229" s="24">
        <f>IFERROR(O225/O214,0)</f>
        <v>0</v>
      </c>
      <c r="P229" s="24">
        <f>IFERROR(P225/P214,0)</f>
        <v>0</v>
      </c>
      <c r="Q229" s="24">
        <f>IFERROR(Q225/Q214,0)</f>
        <v>0</v>
      </c>
      <c r="R229" s="24">
        <f>IFERROR(R225/R214,0)</f>
        <v>0</v>
      </c>
      <c r="S229" s="28"/>
      <c r="T229" s="28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s="2" customFormat="1" x14ac:dyDescent="0.3">
      <c r="A230" s="1"/>
      <c r="B230" s="1"/>
      <c r="C230" s="1"/>
      <c r="E230" s="5" t="s">
        <v>1</v>
      </c>
      <c r="F230" s="56">
        <v>0</v>
      </c>
      <c r="G230" s="56">
        <v>0</v>
      </c>
      <c r="H230" s="56">
        <v>0</v>
      </c>
      <c r="I230" s="56">
        <v>0</v>
      </c>
      <c r="J230" s="56">
        <v>0</v>
      </c>
      <c r="K230" s="56">
        <v>0</v>
      </c>
      <c r="L230" s="56">
        <v>0</v>
      </c>
      <c r="M230" s="56">
        <v>0</v>
      </c>
      <c r="N230" s="56">
        <v>0</v>
      </c>
      <c r="O230" s="56">
        <v>0</v>
      </c>
      <c r="P230" s="56">
        <v>0</v>
      </c>
      <c r="Q230" s="56">
        <v>0</v>
      </c>
      <c r="S230" s="28"/>
      <c r="T230" s="28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s="2" customFormat="1" x14ac:dyDescent="0.3">
      <c r="A231" s="1"/>
      <c r="B231" s="1"/>
      <c r="C231" s="1"/>
      <c r="E231" s="5" t="s">
        <v>0</v>
      </c>
      <c r="F231" s="56">
        <v>0</v>
      </c>
      <c r="G231" s="56">
        <v>0</v>
      </c>
      <c r="H231" s="56">
        <v>0</v>
      </c>
      <c r="I231" s="56">
        <v>0</v>
      </c>
      <c r="J231" s="56">
        <v>0</v>
      </c>
      <c r="K231" s="56">
        <v>0</v>
      </c>
      <c r="L231" s="56">
        <v>0</v>
      </c>
      <c r="M231" s="56">
        <v>0</v>
      </c>
      <c r="N231" s="56">
        <v>0</v>
      </c>
      <c r="O231" s="56">
        <v>0</v>
      </c>
      <c r="P231" s="56">
        <v>0</v>
      </c>
      <c r="Q231" s="56">
        <v>0</v>
      </c>
      <c r="S231" s="28"/>
      <c r="T231" s="28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s="2" customFormat="1" ht="2.4" customHeight="1" x14ac:dyDescent="0.3">
      <c r="F232" s="55"/>
      <c r="G232" s="55"/>
      <c r="H232" s="55"/>
      <c r="I232" s="61"/>
      <c r="J232" s="55"/>
      <c r="K232" s="60"/>
      <c r="L232" s="29"/>
      <c r="M232" s="29"/>
      <c r="N232" s="29"/>
      <c r="O232" s="29"/>
      <c r="P232" s="29"/>
      <c r="Q232" s="29"/>
      <c r="S232" s="28"/>
      <c r="T232" s="28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s="2" customFormat="1" hidden="1" x14ac:dyDescent="0.3">
      <c r="F233" s="55">
        <v>174</v>
      </c>
      <c r="G233" s="55" t="e">
        <v>#REF!</v>
      </c>
      <c r="H233" s="55" t="e">
        <f>G172-H175+#REF!</f>
        <v>#REF!</v>
      </c>
      <c r="I233" s="55" t="e">
        <f>H172-I175+#REF!</f>
        <v>#REF!</v>
      </c>
      <c r="J233" s="55" t="e">
        <f>I172-J175+#REF!</f>
        <v>#REF!</v>
      </c>
      <c r="K233" s="55" t="e">
        <v>#REF!</v>
      </c>
      <c r="L233" s="55" t="e">
        <f>K172-L175+L344</f>
        <v>#VALUE!</v>
      </c>
      <c r="M233" s="55" t="e">
        <f>L172-M175+M344</f>
        <v>#VALUE!</v>
      </c>
      <c r="N233" s="55" t="e">
        <f>M172-N175+N344</f>
        <v>#VALUE!</v>
      </c>
      <c r="O233" s="55" t="e">
        <f>N172-O175+O344</f>
        <v>#VALUE!</v>
      </c>
      <c r="P233" s="55" t="e">
        <f>O172-P175+P344</f>
        <v>#VALUE!</v>
      </c>
      <c r="Q233" s="29"/>
      <c r="S233" s="28"/>
      <c r="T233" s="28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s="2" customFormat="1" hidden="1" x14ac:dyDescent="0.3">
      <c r="F234" s="55">
        <f>F172-F233</f>
        <v>-173.97368421052633</v>
      </c>
      <c r="G234" s="55" t="e">
        <v>#REF!</v>
      </c>
      <c r="H234" s="55" t="e">
        <f>H172-H233</f>
        <v>#REF!</v>
      </c>
      <c r="I234" s="55" t="e">
        <f>I172-I233</f>
        <v>#REF!</v>
      </c>
      <c r="J234" s="55" t="e">
        <f>J172-J233</f>
        <v>#REF!</v>
      </c>
      <c r="K234" s="55" t="e">
        <v>#REF!</v>
      </c>
      <c r="L234" s="55" t="e">
        <f>L172-L233</f>
        <v>#VALUE!</v>
      </c>
      <c r="M234" s="55" t="e">
        <f>M172-M233</f>
        <v>#VALUE!</v>
      </c>
      <c r="N234" s="55" t="e">
        <f>N172-N233</f>
        <v>#VALUE!</v>
      </c>
      <c r="O234" s="55" t="e">
        <f>O172-O233</f>
        <v>#VALUE!</v>
      </c>
      <c r="P234" s="55" t="e">
        <f>P172-P233</f>
        <v>#VALUE!</v>
      </c>
      <c r="Q234" s="29"/>
      <c r="S234" s="28"/>
      <c r="T234" s="28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s="2" customFormat="1" hidden="1" x14ac:dyDescent="0.3">
      <c r="F235" s="55"/>
      <c r="G235" s="55"/>
      <c r="H235" s="55"/>
      <c r="I235" s="55">
        <f>H308-I311+I322</f>
        <v>0</v>
      </c>
      <c r="J235" s="55">
        <f>I308-J311+J322</f>
        <v>0</v>
      </c>
      <c r="K235" s="55">
        <v>23</v>
      </c>
      <c r="L235" s="55">
        <f>K308-L311+L322</f>
        <v>0</v>
      </c>
      <c r="M235" s="55">
        <f>L308-M311+M322</f>
        <v>0</v>
      </c>
      <c r="N235" s="55">
        <f>M308-N311+N322</f>
        <v>0</v>
      </c>
      <c r="O235" s="55">
        <f>N308-O311+O322</f>
        <v>0</v>
      </c>
      <c r="P235" s="55">
        <f>O308-P311+P322</f>
        <v>0</v>
      </c>
      <c r="Q235" s="29"/>
      <c r="S235" s="28"/>
      <c r="T235" s="28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s="2" customFormat="1" hidden="1" x14ac:dyDescent="0.3">
      <c r="F236" s="55"/>
      <c r="G236" s="55"/>
      <c r="H236" s="55"/>
      <c r="I236" s="55">
        <f>I308-I235</f>
        <v>0</v>
      </c>
      <c r="J236" s="55">
        <f>J308-J235</f>
        <v>0</v>
      </c>
      <c r="K236" s="55">
        <v>0</v>
      </c>
      <c r="L236" s="55">
        <f>L308-L235</f>
        <v>0</v>
      </c>
      <c r="M236" s="55">
        <f>M308-M235</f>
        <v>0</v>
      </c>
      <c r="N236" s="55">
        <f>N308-N235</f>
        <v>0</v>
      </c>
      <c r="O236" s="55">
        <f>O308-O235</f>
        <v>0</v>
      </c>
      <c r="P236" s="55">
        <f>P308-P235</f>
        <v>0</v>
      </c>
      <c r="Q236" s="29"/>
      <c r="S236" s="28"/>
      <c r="T236" s="28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s="2" customFormat="1" ht="1.2" customHeight="1" x14ac:dyDescent="0.3">
      <c r="F237" s="55"/>
      <c r="G237" s="55"/>
      <c r="H237" s="55"/>
      <c r="I237" s="61"/>
      <c r="J237" s="55"/>
      <c r="K237" s="60"/>
      <c r="L237" s="29"/>
      <c r="M237" s="29"/>
      <c r="N237" s="29"/>
      <c r="O237" s="29"/>
      <c r="P237" s="29"/>
      <c r="Q237" s="29"/>
      <c r="S237" s="28"/>
      <c r="T237" s="28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s="2" customFormat="1" x14ac:dyDescent="0.3">
      <c r="A238" s="1"/>
      <c r="B238" s="1"/>
      <c r="C238" s="1"/>
      <c r="E238" s="54" t="s">
        <v>33</v>
      </c>
      <c r="F238" s="54" t="s">
        <v>32</v>
      </c>
      <c r="G238" s="54" t="s">
        <v>31</v>
      </c>
      <c r="H238" s="54" t="s">
        <v>30</v>
      </c>
      <c r="I238" s="54" t="s">
        <v>29</v>
      </c>
      <c r="J238" s="54" t="s">
        <v>28</v>
      </c>
      <c r="K238" s="54" t="s">
        <v>27</v>
      </c>
      <c r="L238" s="54" t="s">
        <v>26</v>
      </c>
      <c r="M238" s="54" t="s">
        <v>25</v>
      </c>
      <c r="N238" s="54" t="s">
        <v>24</v>
      </c>
      <c r="O238" s="54" t="s">
        <v>23</v>
      </c>
      <c r="P238" s="54" t="s">
        <v>22</v>
      </c>
      <c r="Q238" s="54" t="s">
        <v>21</v>
      </c>
      <c r="S238" s="28"/>
      <c r="T238" s="28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x14ac:dyDescent="0.3">
      <c r="E239" s="5" t="s">
        <v>20</v>
      </c>
      <c r="F239" s="8">
        <v>0</v>
      </c>
      <c r="G239" s="8">
        <v>0</v>
      </c>
      <c r="H239" s="8">
        <v>0</v>
      </c>
      <c r="I239" s="8">
        <v>0</v>
      </c>
      <c r="J239" s="8">
        <v>0</v>
      </c>
      <c r="K239" s="8">
        <v>0</v>
      </c>
      <c r="L239" s="8">
        <v>0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</row>
    <row r="240" spans="1:107" s="2" customFormat="1" x14ac:dyDescent="0.3">
      <c r="A240" s="1"/>
      <c r="B240" s="1"/>
      <c r="C240" s="1"/>
      <c r="E240" s="5" t="s">
        <v>19</v>
      </c>
      <c r="F240" s="8">
        <v>0</v>
      </c>
      <c r="G240" s="8">
        <f>SUM(G241:G242)</f>
        <v>3</v>
      </c>
      <c r="H240" s="8">
        <f>SUM(H241:H242)</f>
        <v>10</v>
      </c>
      <c r="I240" s="8"/>
      <c r="J240" s="8">
        <f>SUM(J241:J242)</f>
        <v>0</v>
      </c>
      <c r="K240" s="8">
        <f>SUM(K241:K242)</f>
        <v>0</v>
      </c>
      <c r="L240" s="8">
        <f>SUM(L241:L242)</f>
        <v>0</v>
      </c>
      <c r="M240" s="8">
        <f>SUM(M241:M242)</f>
        <v>0</v>
      </c>
      <c r="N240" s="8">
        <f>SUM(N241:N242)</f>
        <v>0</v>
      </c>
      <c r="O240" s="8">
        <f>SUM(O241:O242)</f>
        <v>0</v>
      </c>
      <c r="P240" s="8">
        <f>SUM(P241:P242)</f>
        <v>0</v>
      </c>
      <c r="Q240" s="8">
        <f>SUM(Q241:Q242)</f>
        <v>0</v>
      </c>
      <c r="S240" s="28"/>
      <c r="T240" s="28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s="2" customFormat="1" x14ac:dyDescent="0.3">
      <c r="A241" s="1"/>
      <c r="B241" s="1"/>
      <c r="C241" s="1"/>
      <c r="E241" s="14" t="s">
        <v>41</v>
      </c>
      <c r="F241" s="8">
        <v>0</v>
      </c>
      <c r="G241" s="8">
        <v>0</v>
      </c>
      <c r="H241" s="8">
        <v>0</v>
      </c>
      <c r="I241" s="8">
        <v>0</v>
      </c>
      <c r="J241" s="8">
        <v>0</v>
      </c>
      <c r="K241" s="8">
        <v>0</v>
      </c>
      <c r="L241" s="8">
        <v>0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S241" s="28"/>
      <c r="T241" s="28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s="2" customFormat="1" x14ac:dyDescent="0.3">
      <c r="A242" s="1"/>
      <c r="B242" s="1"/>
      <c r="C242" s="1"/>
      <c r="E242" s="14" t="s">
        <v>40</v>
      </c>
      <c r="F242" s="8">
        <v>0</v>
      </c>
      <c r="G242" s="8">
        <v>3</v>
      </c>
      <c r="H242" s="8">
        <v>10</v>
      </c>
      <c r="I242" s="8">
        <v>0</v>
      </c>
      <c r="J242" s="8">
        <v>0</v>
      </c>
      <c r="K242" s="8">
        <v>0</v>
      </c>
      <c r="L242" s="8">
        <v>0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S242" s="28"/>
      <c r="T242" s="28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s="2" customFormat="1" x14ac:dyDescent="0.3">
      <c r="A243" s="1"/>
      <c r="B243" s="1"/>
      <c r="C243" s="1"/>
      <c r="E243" s="5" t="s">
        <v>39</v>
      </c>
      <c r="F243" s="8">
        <v>0</v>
      </c>
      <c r="G243" s="8">
        <f>SUM(G246:G250)</f>
        <v>1</v>
      </c>
      <c r="H243" s="8">
        <f>SUM(H246:H250)</f>
        <v>0</v>
      </c>
      <c r="I243" s="8">
        <f>SUM(I246:I250)</f>
        <v>0</v>
      </c>
      <c r="J243" s="8">
        <f>SUM(J246:J250)</f>
        <v>0</v>
      </c>
      <c r="K243" s="8">
        <f>SUM(K246:K250)</f>
        <v>0</v>
      </c>
      <c r="L243" s="8">
        <f>SUM(L246:L250)</f>
        <v>0</v>
      </c>
      <c r="M243" s="8">
        <f>SUM(M246:M250)</f>
        <v>0</v>
      </c>
      <c r="N243" s="8">
        <f>SUM(N246:N250)</f>
        <v>0</v>
      </c>
      <c r="O243" s="8">
        <f>SUM(O246:O250)</f>
        <v>0</v>
      </c>
      <c r="P243" s="8">
        <f>SUM(P246:P250)</f>
        <v>0</v>
      </c>
      <c r="Q243" s="8">
        <f>SUM(Q246:Q250)</f>
        <v>0</v>
      </c>
      <c r="S243" s="28"/>
      <c r="T243" s="28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s="2" customFormat="1" x14ac:dyDescent="0.3">
      <c r="A244" s="1"/>
      <c r="B244" s="1"/>
      <c r="C244" s="1"/>
      <c r="E244" s="5" t="s">
        <v>15</v>
      </c>
      <c r="F244" s="8">
        <v>0</v>
      </c>
      <c r="G244" s="8">
        <v>0</v>
      </c>
      <c r="H244" s="8">
        <v>0</v>
      </c>
      <c r="I244" s="8">
        <v>0</v>
      </c>
      <c r="J244" s="8">
        <v>0</v>
      </c>
      <c r="K244" s="8">
        <v>0</v>
      </c>
      <c r="L244" s="8">
        <v>0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S244" s="28"/>
      <c r="T244" s="28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s="2" customFormat="1" x14ac:dyDescent="0.3">
      <c r="A245" s="1"/>
      <c r="B245" s="1"/>
      <c r="C245" s="1"/>
      <c r="E245" s="5" t="s">
        <v>14</v>
      </c>
      <c r="F245" s="10">
        <v>0</v>
      </c>
      <c r="G245" s="10">
        <f>IFERROR(G243/F240,0)</f>
        <v>0</v>
      </c>
      <c r="H245" s="10">
        <f>IFERROR(H243/G240,0)</f>
        <v>0</v>
      </c>
      <c r="I245" s="10">
        <f>IFERROR(I243/H240,0)</f>
        <v>0</v>
      </c>
      <c r="J245" s="10">
        <f>IFERROR(J243/I240,0)</f>
        <v>0</v>
      </c>
      <c r="K245" s="10">
        <f>IFERROR(K243/J240,0)</f>
        <v>0</v>
      </c>
      <c r="L245" s="10">
        <f>IFERROR(L243/K240,0)</f>
        <v>0</v>
      </c>
      <c r="M245" s="10">
        <f>IFERROR(M243/L240,0)</f>
        <v>0</v>
      </c>
      <c r="N245" s="10">
        <f>IFERROR(N243/M240,0)</f>
        <v>0</v>
      </c>
      <c r="O245" s="10">
        <f>IFERROR(O243/N240,0)</f>
        <v>0</v>
      </c>
      <c r="P245" s="10">
        <f>IFERROR(P243/O240,0)</f>
        <v>0</v>
      </c>
      <c r="Q245" s="10">
        <f>IFERROR(Q243/P240,0)</f>
        <v>0</v>
      </c>
      <c r="S245" s="28"/>
      <c r="T245" s="28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s="2" customFormat="1" x14ac:dyDescent="0.3">
      <c r="A246" s="1"/>
      <c r="B246" s="1"/>
      <c r="C246" s="1"/>
      <c r="E246" s="5" t="s">
        <v>13</v>
      </c>
      <c r="F246" s="8">
        <v>0</v>
      </c>
      <c r="G246" s="8">
        <v>0</v>
      </c>
      <c r="H246" s="8">
        <v>0</v>
      </c>
      <c r="I246" s="8">
        <v>0</v>
      </c>
      <c r="J246" s="8">
        <v>0</v>
      </c>
      <c r="K246" s="8">
        <v>0</v>
      </c>
      <c r="L246" s="8">
        <v>0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S246" s="28"/>
      <c r="T246" s="28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s="2" customFormat="1" x14ac:dyDescent="0.3">
      <c r="A247" s="1"/>
      <c r="B247" s="1"/>
      <c r="C247" s="1"/>
      <c r="E247" s="5" t="s">
        <v>12</v>
      </c>
      <c r="F247" s="8">
        <v>0</v>
      </c>
      <c r="G247" s="8">
        <v>0</v>
      </c>
      <c r="H247" s="8">
        <v>0</v>
      </c>
      <c r="I247" s="8">
        <v>0</v>
      </c>
      <c r="J247" s="8">
        <v>0</v>
      </c>
      <c r="K247" s="8">
        <v>0</v>
      </c>
      <c r="L247" s="8">
        <v>0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S247" s="28"/>
      <c r="T247" s="28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s="2" customFormat="1" x14ac:dyDescent="0.3">
      <c r="A248" s="1"/>
      <c r="B248" s="1"/>
      <c r="C248" s="1"/>
      <c r="E248" s="5" t="s">
        <v>11</v>
      </c>
      <c r="F248" s="8">
        <v>0</v>
      </c>
      <c r="G248" s="8">
        <v>0</v>
      </c>
      <c r="H248" s="8">
        <v>0</v>
      </c>
      <c r="I248" s="8">
        <v>0</v>
      </c>
      <c r="J248" s="8">
        <v>0</v>
      </c>
      <c r="K248" s="8">
        <v>0</v>
      </c>
      <c r="L248" s="8">
        <v>0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S248" s="28"/>
      <c r="T248" s="28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s="2" customFormat="1" x14ac:dyDescent="0.3">
      <c r="A249" s="1"/>
      <c r="B249" s="1"/>
      <c r="C249" s="1"/>
      <c r="E249" s="5" t="s">
        <v>50</v>
      </c>
      <c r="F249" s="42">
        <v>0</v>
      </c>
      <c r="G249" s="42">
        <v>0</v>
      </c>
      <c r="H249" s="42">
        <v>0</v>
      </c>
      <c r="I249" s="42">
        <v>0</v>
      </c>
      <c r="J249" s="42">
        <v>0</v>
      </c>
      <c r="K249" s="42">
        <v>0</v>
      </c>
      <c r="L249" s="42">
        <v>0</v>
      </c>
      <c r="M249" s="42">
        <v>0</v>
      </c>
      <c r="N249" s="42">
        <v>0</v>
      </c>
      <c r="O249" s="42">
        <v>0</v>
      </c>
      <c r="P249" s="42">
        <v>0</v>
      </c>
      <c r="Q249" s="42">
        <v>0</v>
      </c>
      <c r="S249" s="28"/>
      <c r="T249" s="28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s="2" customFormat="1" x14ac:dyDescent="0.3">
      <c r="A250" s="1"/>
      <c r="B250" s="1"/>
      <c r="C250" s="1"/>
      <c r="E250" s="5" t="s">
        <v>46</v>
      </c>
      <c r="F250" s="42">
        <v>0</v>
      </c>
      <c r="G250" s="42">
        <v>1</v>
      </c>
      <c r="H250" s="42">
        <v>0</v>
      </c>
      <c r="I250" s="42">
        <v>0</v>
      </c>
      <c r="J250" s="42">
        <v>0</v>
      </c>
      <c r="K250" s="42">
        <v>0</v>
      </c>
      <c r="L250" s="42">
        <v>0</v>
      </c>
      <c r="M250" s="42">
        <v>0</v>
      </c>
      <c r="N250" s="42">
        <v>0</v>
      </c>
      <c r="O250" s="42">
        <v>0</v>
      </c>
      <c r="P250" s="42">
        <v>0</v>
      </c>
      <c r="Q250" s="42">
        <v>0</v>
      </c>
      <c r="S250" s="28"/>
      <c r="T250" s="28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s="2" customFormat="1" x14ac:dyDescent="0.3">
      <c r="A251" s="1"/>
      <c r="B251" s="1"/>
      <c r="C251" s="1"/>
      <c r="E251" s="5" t="s">
        <v>6</v>
      </c>
      <c r="F251" s="23">
        <v>0</v>
      </c>
      <c r="G251" s="23">
        <v>5501.7199999999993</v>
      </c>
      <c r="H251" s="23">
        <v>13637.809999999996</v>
      </c>
      <c r="I251" s="23">
        <v>0</v>
      </c>
      <c r="J251" s="23">
        <v>0</v>
      </c>
      <c r="K251" s="23">
        <v>0</v>
      </c>
      <c r="L251" s="23">
        <v>0</v>
      </c>
      <c r="M251" s="23">
        <v>0</v>
      </c>
      <c r="N251" s="23">
        <v>0</v>
      </c>
      <c r="O251" s="23">
        <v>0</v>
      </c>
      <c r="P251" s="23">
        <v>0</v>
      </c>
      <c r="Q251" s="23">
        <v>0</v>
      </c>
      <c r="S251" s="28"/>
      <c r="T251" s="28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s="2" customFormat="1" x14ac:dyDescent="0.3">
      <c r="A252" s="1"/>
      <c r="B252" s="1"/>
      <c r="C252" s="1"/>
      <c r="E252" s="5" t="s">
        <v>5</v>
      </c>
      <c r="F252" s="23">
        <v>0</v>
      </c>
      <c r="G252" s="23">
        <v>5130.2199999999993</v>
      </c>
      <c r="H252" s="23">
        <v>0</v>
      </c>
      <c r="I252" s="23">
        <v>0</v>
      </c>
      <c r="J252" s="23">
        <v>0</v>
      </c>
      <c r="K252" s="23">
        <v>0</v>
      </c>
      <c r="L252" s="23">
        <v>0</v>
      </c>
      <c r="M252" s="23">
        <v>0</v>
      </c>
      <c r="N252" s="23">
        <v>0</v>
      </c>
      <c r="O252" s="23">
        <v>0</v>
      </c>
      <c r="P252" s="23">
        <v>0</v>
      </c>
      <c r="Q252" s="23">
        <v>0</v>
      </c>
      <c r="S252" s="28"/>
      <c r="T252" s="28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s="2" customFormat="1" x14ac:dyDescent="0.3">
      <c r="A253" s="1"/>
      <c r="B253" s="1"/>
      <c r="C253" s="1"/>
      <c r="E253" s="5" t="s">
        <v>49</v>
      </c>
      <c r="F253" s="10">
        <f>IFERROR((1-F252/F251),0)</f>
        <v>0</v>
      </c>
      <c r="G253" s="10">
        <f>IFERROR((1-G252/G251),0)</f>
        <v>6.7524337843438031E-2</v>
      </c>
      <c r="H253" s="10">
        <f>IFERROR((1-H252/H251),0)</f>
        <v>1</v>
      </c>
      <c r="I253" s="10">
        <f>IFERROR((1-I252/I251),0)</f>
        <v>0</v>
      </c>
      <c r="J253" s="10">
        <f>IFERROR((1-J252/J251),0)</f>
        <v>0</v>
      </c>
      <c r="K253" s="10">
        <f>IFERROR((1-K252/K251),0)</f>
        <v>0</v>
      </c>
      <c r="L253" s="10">
        <f>IFERROR((1-L252/L251),0)</f>
        <v>0</v>
      </c>
      <c r="M253" s="10">
        <f>IFERROR((1-M252/M251),0)</f>
        <v>0</v>
      </c>
      <c r="N253" s="10">
        <f>IFERROR((1-N252/N251),0)</f>
        <v>0</v>
      </c>
      <c r="O253" s="10">
        <f>IFERROR((1-O252/O251),0)</f>
        <v>0</v>
      </c>
      <c r="P253" s="10">
        <f>IFERROR((1-P252/P251),0)</f>
        <v>0</v>
      </c>
      <c r="Q253" s="10">
        <f>IFERROR((1-Q252/Q251),0)</f>
        <v>0</v>
      </c>
      <c r="S253" s="28"/>
      <c r="T253" s="28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s="2" customFormat="1" x14ac:dyDescent="0.3">
      <c r="A254" s="1"/>
      <c r="B254" s="1"/>
      <c r="C254" s="1"/>
      <c r="E254" s="5" t="s">
        <v>3</v>
      </c>
      <c r="F254" s="8">
        <v>0</v>
      </c>
      <c r="G254" s="8">
        <v>4</v>
      </c>
      <c r="H254" s="8">
        <v>7</v>
      </c>
      <c r="I254" s="8">
        <v>0</v>
      </c>
      <c r="J254" s="8">
        <v>0</v>
      </c>
      <c r="K254" s="8">
        <v>0</v>
      </c>
      <c r="L254" s="8">
        <v>0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S254" s="28"/>
      <c r="T254" s="28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s="2" customFormat="1" x14ac:dyDescent="0.3">
      <c r="A255" s="1"/>
      <c r="B255" s="1"/>
      <c r="C255" s="1"/>
      <c r="E255" s="5" t="s">
        <v>2</v>
      </c>
      <c r="F255" s="24">
        <f>IFERROR(F251/F240,0)</f>
        <v>0</v>
      </c>
      <c r="G255" s="24">
        <f>IFERROR(G251/G240,0)</f>
        <v>1833.9066666666665</v>
      </c>
      <c r="H255" s="24">
        <f>IFERROR(H251/H240,0)</f>
        <v>1363.7809999999995</v>
      </c>
      <c r="I255" s="24">
        <f>IFERROR(I251/I240,0)</f>
        <v>0</v>
      </c>
      <c r="J255" s="24">
        <f>IFERROR(J251/J240,0)</f>
        <v>0</v>
      </c>
      <c r="K255" s="24">
        <f>IFERROR(K251/K240,0)</f>
        <v>0</v>
      </c>
      <c r="L255" s="24">
        <f>IFERROR(L251/L240,0)</f>
        <v>0</v>
      </c>
      <c r="M255" s="24">
        <f>IFERROR(M251/M240,0)</f>
        <v>0</v>
      </c>
      <c r="N255" s="24">
        <f>IFERROR(N251/N240,0)</f>
        <v>0</v>
      </c>
      <c r="O255" s="24">
        <f>IFERROR(O251/O240,0)</f>
        <v>0</v>
      </c>
      <c r="P255" s="24">
        <f>IFERROR(P251/P240,0)</f>
        <v>0</v>
      </c>
      <c r="Q255" s="24">
        <f>IFERROR(Q251/Q240,0)</f>
        <v>0</v>
      </c>
      <c r="R255" s="24">
        <f>IFERROR(R251/R240,0)</f>
        <v>0</v>
      </c>
      <c r="S255" s="28"/>
      <c r="T255" s="28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s="2" customFormat="1" x14ac:dyDescent="0.3">
      <c r="A256" s="1"/>
      <c r="B256" s="1"/>
      <c r="C256" s="1"/>
      <c r="E256" s="5" t="s">
        <v>1</v>
      </c>
      <c r="F256" s="56">
        <v>0</v>
      </c>
      <c r="G256" s="56">
        <v>0</v>
      </c>
      <c r="H256" s="56">
        <v>0</v>
      </c>
      <c r="I256" s="56">
        <v>0</v>
      </c>
      <c r="J256" s="56">
        <v>0</v>
      </c>
      <c r="K256" s="56">
        <v>0</v>
      </c>
      <c r="L256" s="56">
        <v>0</v>
      </c>
      <c r="M256" s="56">
        <v>0</v>
      </c>
      <c r="N256" s="56">
        <v>0</v>
      </c>
      <c r="O256" s="56">
        <v>0</v>
      </c>
      <c r="P256" s="56">
        <v>0</v>
      </c>
      <c r="Q256" s="56">
        <v>0</v>
      </c>
      <c r="S256" s="28"/>
      <c r="T256" s="28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s="2" customFormat="1" x14ac:dyDescent="0.3">
      <c r="A257" s="1"/>
      <c r="B257" s="1"/>
      <c r="C257" s="1"/>
      <c r="E257" s="5" t="s">
        <v>0</v>
      </c>
      <c r="F257" s="56">
        <v>0</v>
      </c>
      <c r="G257" s="56">
        <v>0</v>
      </c>
      <c r="H257" s="56">
        <v>0</v>
      </c>
      <c r="I257" s="56">
        <v>0</v>
      </c>
      <c r="J257" s="56">
        <v>0</v>
      </c>
      <c r="K257" s="56">
        <v>0</v>
      </c>
      <c r="L257" s="56">
        <v>0</v>
      </c>
      <c r="M257" s="56">
        <v>0</v>
      </c>
      <c r="N257" s="56">
        <v>0</v>
      </c>
      <c r="O257" s="56">
        <v>0</v>
      </c>
      <c r="P257" s="56">
        <v>0</v>
      </c>
      <c r="Q257" s="56">
        <v>0</v>
      </c>
      <c r="S257" s="28"/>
      <c r="T257" s="28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s="2" customFormat="1" ht="2.4" customHeight="1" x14ac:dyDescent="0.3">
      <c r="F258" s="55"/>
      <c r="G258" s="55"/>
      <c r="H258" s="55"/>
      <c r="I258" s="61"/>
      <c r="J258" s="55"/>
      <c r="K258" s="60"/>
      <c r="L258" s="29"/>
      <c r="M258" s="29"/>
      <c r="N258" s="29"/>
      <c r="O258" s="29"/>
      <c r="P258" s="29"/>
      <c r="Q258" s="29"/>
      <c r="S258" s="28"/>
      <c r="T258" s="28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x14ac:dyDescent="0.3">
      <c r="E259" s="54" t="s">
        <v>33</v>
      </c>
      <c r="F259" s="54" t="s">
        <v>32</v>
      </c>
      <c r="G259" s="54" t="s">
        <v>31</v>
      </c>
      <c r="H259" s="54" t="s">
        <v>30</v>
      </c>
      <c r="I259" s="54" t="s">
        <v>29</v>
      </c>
      <c r="J259" s="54" t="s">
        <v>28</v>
      </c>
      <c r="K259" s="54" t="s">
        <v>27</v>
      </c>
      <c r="L259" s="54" t="s">
        <v>26</v>
      </c>
      <c r="M259" s="54" t="s">
        <v>25</v>
      </c>
      <c r="N259" s="54" t="s">
        <v>24</v>
      </c>
      <c r="O259" s="54" t="s">
        <v>23</v>
      </c>
      <c r="P259" s="54" t="s">
        <v>22</v>
      </c>
      <c r="Q259" s="54" t="s">
        <v>21</v>
      </c>
    </row>
    <row r="260" spans="1:107" x14ac:dyDescent="0.3">
      <c r="E260" s="5" t="s">
        <v>20</v>
      </c>
      <c r="F260" s="8">
        <f>SUM(F345,F124,F82,F103,F281,F145,F187,F36,F13,F166,F61)</f>
        <v>0</v>
      </c>
      <c r="G260" s="8">
        <f>SUM(G345,G124,G82,G103,G281,G145,G187,G36,G13,G166,G61)</f>
        <v>0</v>
      </c>
      <c r="H260" s="8">
        <f>SUM(H345,H124,H82,H103,H281,H145,H187,H36,H13,H166,H61)</f>
        <v>0</v>
      </c>
      <c r="I260" s="8">
        <f>SUM(I345,I124,I82,I103,I281,I145,I187,I36,I13,I166,I61)</f>
        <v>0</v>
      </c>
      <c r="J260" s="8">
        <f>SUM(J345,J124,J82,J103,J281,J145,J187,J36,J13,J166,J61)</f>
        <v>0</v>
      </c>
      <c r="K260" s="8">
        <f>SUM(K345,K124,K82,K103,K281,K145,K187,K36,K13,K166,K61)</f>
        <v>0</v>
      </c>
      <c r="L260" s="8">
        <f>SUM(L345,L124,L82,L103,L281,L145,L187,L36,L13,L166,L61)</f>
        <v>0</v>
      </c>
      <c r="M260" s="8">
        <f>SUM(M345,M124,M82,M103,M281,M145,M187,M36,M13,M166,M61)</f>
        <v>0</v>
      </c>
      <c r="N260" s="8">
        <f>SUM(N345,N124,N82,N103,N281,N145,N187,N36,N13,N166,N61)</f>
        <v>0</v>
      </c>
      <c r="O260" s="8">
        <f>SUM(O345,O124,O82,O103,O281,O145,O187,O36,O13,O166,O61)</f>
        <v>0</v>
      </c>
      <c r="P260" s="8">
        <f>SUM(P345,P124,P82,P103,P281,P145,P187,P36,P13,P166,P61)</f>
        <v>0</v>
      </c>
      <c r="Q260" s="8">
        <f>SUM(Q345,Q124,Q82,Q103,Q281,Q145,Q187,Q36,Q13,Q166,Q61)</f>
        <v>0</v>
      </c>
    </row>
    <row r="261" spans="1:107" x14ac:dyDescent="0.3">
      <c r="E261" s="5" t="s">
        <v>19</v>
      </c>
      <c r="F261" s="8">
        <f>SUM(F282,F146,F188,F37,F14,F304,F125,F83,F104,F167,F62,F214,F240)</f>
        <v>12602</v>
      </c>
      <c r="G261" s="8">
        <f>SUM(G282,G146,G188,G37,G14,G304,G125,G83,G104,G167,G62,G214,G240)</f>
        <v>12031</v>
      </c>
      <c r="H261" s="8">
        <f>SUM(H282,H146,H188,H37,H14,H304,H125,H83,H104,H167,H62,H214,H240)</f>
        <v>11019</v>
      </c>
      <c r="I261" s="8">
        <f>SUM(I282,I146,I188,I37,I14,I304,I125,I83,I104,I167,I62,I214,I240)</f>
        <v>10698</v>
      </c>
      <c r="J261" s="8">
        <f>SUM(J282,J146,J188,J37,J14,J304,J125,J83,J104,J167,J62,J214,J240)</f>
        <v>10709</v>
      </c>
      <c r="K261" s="8">
        <f>SUM(K282,K146,K188,K37,K14,K304,K125,K83,K104,K167,K62,K214,K240)</f>
        <v>10979</v>
      </c>
      <c r="L261" s="8">
        <f>SUM(L282,L146,L188,L37,L14,L304,L125,L83,L104,L167,L62,L214,L240)</f>
        <v>0</v>
      </c>
      <c r="M261" s="8">
        <f>SUM(M282,M146,M188,M37,M14,M304,M125,M83,M104,M167,M62,M214,M240)</f>
        <v>0</v>
      </c>
      <c r="N261" s="8">
        <f>SUM(N282,N146,N188,N37,N14,N304,N125,N83,N104,N167,N62,N214,N240)</f>
        <v>0</v>
      </c>
      <c r="O261" s="8">
        <f>SUM(O282,O146,O188,O37,O14,O304,O125,O83,O104,O167,O62,O214,O240)</f>
        <v>0</v>
      </c>
      <c r="P261" s="8">
        <f>SUM(P282,P146,P188,P37,P14,P304,P125,P83,P104,P167,P62,P214,P240)</f>
        <v>0</v>
      </c>
      <c r="Q261" s="8">
        <f>SUM(Q282,Q146,Q188,Q37,Q14,Q304,Q125,Q83,Q104,Q167,Q62,Q214,Q240)</f>
        <v>0</v>
      </c>
    </row>
    <row r="262" spans="1:107" x14ac:dyDescent="0.3">
      <c r="E262" s="14" t="s">
        <v>41</v>
      </c>
      <c r="F262" s="8">
        <f>SUM(F283,F147,F189,F38,F15,F305,F126,F84,F105,F168,F63,F215,F241)</f>
        <v>784</v>
      </c>
      <c r="G262" s="8">
        <f>SUM(G283,G147,G189,G38,G15,G305,G126,G84,G105,G168,G63,G215,G241)</f>
        <v>752</v>
      </c>
      <c r="H262" s="8">
        <f>SUM(H283,H147,H189,H38,H15,H305,H126,H84,H105,H168,H63,H215,H241)</f>
        <v>730</v>
      </c>
      <c r="I262" s="8">
        <f>SUM(I283,I147,I189,I38,I15,I305,I126,I84,I105,I168,I63,I215,I241)</f>
        <v>711</v>
      </c>
      <c r="J262" s="8">
        <f>SUM(J283,J147,J189,J38,J15,J305,J126,J84,J105,J168,J63,J215,J241)</f>
        <v>696</v>
      </c>
      <c r="K262" s="8">
        <f>SUM(K283,K147,K189,K38,K15,K305,K126,K84,K105,K168,K63,K215,K241)</f>
        <v>696</v>
      </c>
      <c r="L262" s="8">
        <f>SUM(L283,L147,L189,L38,L15,L305,L126,L84,L105,L168,L63,L215,L241)</f>
        <v>0</v>
      </c>
      <c r="M262" s="8">
        <f>SUM(M283,M147,M189,M38,M15,M305,M126,M84,M105,M168,M63,M215,M241)</f>
        <v>0</v>
      </c>
      <c r="N262" s="8">
        <f>SUM(N283,N147,N189,N38,N15,N305,N126,N84,N105,N168,N63,N215,N241)</f>
        <v>0</v>
      </c>
      <c r="O262" s="8">
        <f>SUM(O283,O147,O189,O38,O15,O305,O126,O84,O105,O168,O63,O215,O241)</f>
        <v>0</v>
      </c>
      <c r="P262" s="8">
        <f>SUM(P283,P147,P189,P38,P15,P305,P126,P84,P105,P168,P63,P215,P241)</f>
        <v>0</v>
      </c>
      <c r="Q262" s="8">
        <f>SUM(Q283,Q147,Q189,Q38,Q15,Q305,Q126,Q84,Q105,Q168,Q63,Q215,Q241)</f>
        <v>0</v>
      </c>
    </row>
    <row r="263" spans="1:107" x14ac:dyDescent="0.3">
      <c r="E263" s="14" t="s">
        <v>40</v>
      </c>
      <c r="F263" s="8">
        <f>SUM(F284,F148,F190,F39,F16,F306,F127,F85,F106,F169,F64,F216,F242)</f>
        <v>11818</v>
      </c>
      <c r="G263" s="8">
        <f>SUM(G284,G148,G190,G39,G16,G306,G127,G85,G106,G169,G64,G216,G242)</f>
        <v>11279</v>
      </c>
      <c r="H263" s="8">
        <f>SUM(H284,H148,H190,H39,H16,H306,H127,H85,H106,H169,H64,H216,H242)</f>
        <v>10289</v>
      </c>
      <c r="I263" s="8">
        <f>SUM(I284,I148,I190,I39,I16,I306,I127,I85,I106,I169,I64,I216,I242)</f>
        <v>9987</v>
      </c>
      <c r="J263" s="8">
        <f>SUM(J284,J148,J190,J39,J16,J306,J127,J85,J106,J169,J64,J216,J242)</f>
        <v>10013</v>
      </c>
      <c r="K263" s="8">
        <f>SUM(K284,K148,K190,K39,K16,K306,K127,K85,K106,K169,K64,K216,K242)</f>
        <v>10283</v>
      </c>
      <c r="L263" s="8">
        <f>SUM(L284,L148,L190,L39,L16,L306,L127,L85,L106,L169,L64,L216,L242)</f>
        <v>0</v>
      </c>
      <c r="M263" s="8">
        <f>SUM(M284,M148,M190,M39,M16,M306,M127,M85,M106,M169,M64,M216,M242)</f>
        <v>0</v>
      </c>
      <c r="N263" s="8">
        <f>SUM(N284,N148,N190,N39,N16,N306,N127,N85,N106,N169,N64,N216,N242)</f>
        <v>0</v>
      </c>
      <c r="O263" s="8">
        <f>SUM(O284,O148,O190,O39,O16,O306,O127,O85,O106,O169,O64,O216,O242)</f>
        <v>0</v>
      </c>
      <c r="P263" s="8">
        <f>SUM(P284,P148,P190,P39,P16,P306,P127,P85,P106,P169,P64,P216,P242)</f>
        <v>0</v>
      </c>
      <c r="Q263" s="8">
        <f>SUM(Q284,Q148,Q190,Q39,Q16,Q306,Q127,Q85,Q106,Q169,Q64,Q216,Q242)</f>
        <v>0</v>
      </c>
    </row>
    <row r="264" spans="1:107" x14ac:dyDescent="0.3">
      <c r="E264" s="5" t="s">
        <v>39</v>
      </c>
      <c r="F264" s="8">
        <f>SUM(F285,F149,F191,F40,F17,F307,F128,F86,F107,F170,F65,F217,F243)</f>
        <v>649</v>
      </c>
      <c r="G264" s="8">
        <f>SUM(G285,G149,G191,G40,G17,G307,G128,G86,G107,G170,G65,G217,G243)</f>
        <v>600</v>
      </c>
      <c r="H264" s="8">
        <f>SUM(H285,H149,H191,H40,H17,H307,H128,H86,H107,H170,H65,H217,H243)</f>
        <v>1038</v>
      </c>
      <c r="I264" s="8">
        <f>SUM(I285,I149,I191,I40,I17,I307,I128,I86,I107,I170,I65,I217,I243)</f>
        <v>506</v>
      </c>
      <c r="J264" s="8">
        <f>SUM(J285,J149,J191,J40,J17,J307,J128,J86,J107,J170,J65,J217,J243)</f>
        <v>414</v>
      </c>
      <c r="K264" s="8">
        <f>SUM(K285,K149,K191,K40,K17,K307,K128,K86,K107,K170,K65,K217,K243)</f>
        <v>47</v>
      </c>
      <c r="L264" s="8">
        <f>SUM(L285,L149,L191,L40,L17,L307,L128,L86,L107,L170,L65,L217,L243)</f>
        <v>0</v>
      </c>
      <c r="M264" s="8">
        <f>SUM(M285,M149,M191,M40,M17,M307,M128,M86,M107,M170,M65,M217,M243)</f>
        <v>0</v>
      </c>
      <c r="N264" s="8">
        <f>SUM(N285,N149,N191,N40,N17,N307,N128,N86,N107,N170,N65,N217,N243)</f>
        <v>0</v>
      </c>
      <c r="O264" s="8">
        <f>SUM(O285,O149,O191,O40,O17,O307,O128,O86,O107,O170,O65,O217,O243)</f>
        <v>0</v>
      </c>
      <c r="P264" s="8">
        <f>SUM(P285,P149,P191,P40,P17,P307,P128,P86,P107,P170,P65,P217,P243)</f>
        <v>0</v>
      </c>
      <c r="Q264" s="8">
        <f>SUM(Q285,Q149,Q191,Q40,Q17,Q307,Q128,Q86,Q107,Q170,Q65,Q217,Q243)</f>
        <v>0</v>
      </c>
    </row>
    <row r="265" spans="1:107" x14ac:dyDescent="0.3">
      <c r="E265" s="5" t="s">
        <v>15</v>
      </c>
      <c r="F265" s="8">
        <f>SUM(F286,F150,F192,F41,F18,F308,F129,F87,F108,F171,F66,F218,F244)</f>
        <v>128</v>
      </c>
      <c r="G265" s="8">
        <f>SUM(G286,G150,G192,G41,G18,G308,G129,G87,G108,G171,G66,G218,G244)</f>
        <v>277</v>
      </c>
      <c r="H265" s="8">
        <f>SUM(H286,H150,H192,H41,H18,H308,H129,H87,H108,H171,H66,H218,H244)</f>
        <v>102</v>
      </c>
      <c r="I265" s="8">
        <f>SUM(I286,I150,I192,I41,I18,I308,I129,I87,I108,I171,I66,I218,I244)</f>
        <v>101</v>
      </c>
      <c r="J265" s="8">
        <f>SUM(J286,J150,J192,J41,J18,J308,J129,J87,J108,J171,J66,J218,J244)</f>
        <v>79</v>
      </c>
      <c r="K265" s="8">
        <f>SUM(K286,K150,K192,K41,K18,K308,K129,K87,K108,K171,K66,K218,K244)</f>
        <v>19</v>
      </c>
      <c r="L265" s="8">
        <f>SUM(L286,L150,L192,L41,L18,L308,L129,L87,L108,L171,L66,L218,L244)</f>
        <v>0</v>
      </c>
      <c r="M265" s="8">
        <f>SUM(M286,M150,M192,M41,M18,M308,M129,M87,M108,M171,M66,M218,M244)</f>
        <v>0</v>
      </c>
      <c r="N265" s="8">
        <f>SUM(N286,N150,N192,N41,N18,N308,N129,N87,N108,N171,N66,N218,N244)</f>
        <v>0</v>
      </c>
      <c r="O265" s="8">
        <f>SUM(O286,O150,O192,O41,O18,O308,O129,O87,O108,O171,O66,O218,O244)</f>
        <v>0</v>
      </c>
      <c r="P265" s="8">
        <f>SUM(P286,P150,P192,P41,P18,P308,P129,P87,P108,P171,P66,P218,P244)</f>
        <v>0</v>
      </c>
      <c r="Q265" s="8">
        <f>SUM(Q286,Q150,Q192,Q41,Q18,Q308,Q129,Q87,Q108,Q171,Q66,Q218,Q244)</f>
        <v>0</v>
      </c>
    </row>
    <row r="266" spans="1:107" x14ac:dyDescent="0.3">
      <c r="E266" s="5" t="s">
        <v>14</v>
      </c>
      <c r="F266" s="10">
        <f>IFERROR(F264/'Relatório Indicadores 25'!Q240,0)</f>
        <v>4.9496644295302011E-2</v>
      </c>
      <c r="G266" s="10">
        <f>IFERROR(G264/F261,0)</f>
        <v>4.7611490239644498E-2</v>
      </c>
      <c r="H266" s="10">
        <f>IFERROR(H264/G261,0)</f>
        <v>8.6277117446596288E-2</v>
      </c>
      <c r="I266" s="10">
        <f>IFERROR(I264/H261,0)</f>
        <v>4.5920682457573282E-2</v>
      </c>
      <c r="J266" s="10">
        <f>IFERROR(J264/I261,0)</f>
        <v>3.8698822209758836E-2</v>
      </c>
      <c r="K266" s="10">
        <f>IFERROR(K264/J261,0)</f>
        <v>4.3888318236996919E-3</v>
      </c>
      <c r="L266" s="10">
        <f>IFERROR(L264/K261,0)</f>
        <v>0</v>
      </c>
      <c r="M266" s="10">
        <f>IFERROR(M264/L261,0)</f>
        <v>0</v>
      </c>
      <c r="N266" s="10">
        <f>IFERROR(N264/M261,0)</f>
        <v>0</v>
      </c>
      <c r="O266" s="10">
        <f>IFERROR(O264/N261,0)</f>
        <v>0</v>
      </c>
      <c r="P266" s="10">
        <f>IFERROR(P264/O261,0)</f>
        <v>0</v>
      </c>
      <c r="Q266" s="10">
        <f>IFERROR(Q264/P261,0)</f>
        <v>0</v>
      </c>
    </row>
    <row r="267" spans="1:107" s="2" customFormat="1" x14ac:dyDescent="0.3">
      <c r="A267" s="1"/>
      <c r="B267" s="1"/>
      <c r="C267" s="1"/>
      <c r="E267" s="5" t="s">
        <v>13</v>
      </c>
      <c r="F267" s="8">
        <f>SUM(F288,F152,F194,F43,F20,F310,F131,F89,F110,F173,F68,F220,F246)</f>
        <v>166</v>
      </c>
      <c r="G267" s="8">
        <f>SUM(G288,G152,G194,G43,G20,G310,G131,G89,G110,G173,G68,G220,G246)</f>
        <v>133</v>
      </c>
      <c r="H267" s="8">
        <f>SUM(H288,H152,H194,H43,H20,H310,H131,H89,H110,H173,H68,H220,H246)</f>
        <v>194</v>
      </c>
      <c r="I267" s="8">
        <f>SUM(I288,I152,I194,I43,I20,I310,I131,I89,I110,I173,I68,I220,I246)</f>
        <v>154</v>
      </c>
      <c r="J267" s="8">
        <f>SUM(J288,J152,J194,J43,J20,J310,J131,J89,J110,J173,J68,J220,J246)</f>
        <v>137</v>
      </c>
      <c r="K267" s="8">
        <f>SUM(K288,K152,K194,K43,K20,K310,K131,K89,K110,K173,K68,K220,K246)</f>
        <v>4</v>
      </c>
      <c r="L267" s="8">
        <f>SUM(L288,L152,L194,L43,L20,L310,L131,L89,L110,L173,L68,L220,L246)</f>
        <v>0</v>
      </c>
      <c r="M267" s="8">
        <f>SUM(M288,M152,M194,M43,M20,M310,M131,M89,M110,M173,M68,M220,M246)</f>
        <v>0</v>
      </c>
      <c r="N267" s="8">
        <f>SUM(N288,N152,N194,N43,N20,N310,N131,N89,N110,N173,N68,N220,N246)</f>
        <v>0</v>
      </c>
      <c r="O267" s="8">
        <f>SUM(O288,O152,O194,O43,O20,O310,O131,O89,O110,O173,O68,O220,O246)</f>
        <v>0</v>
      </c>
      <c r="P267" s="8">
        <f>SUM(P288,P152,P194,P43,P20,P310,P131,P89,P110,P173,P68,P220,P246)</f>
        <v>0</v>
      </c>
      <c r="Q267" s="8">
        <f>SUM(Q288,Q152,Q194,Q43,Q20,Q310,Q131,Q89,Q110,Q173,Q68,Q220,Q246)</f>
        <v>0</v>
      </c>
      <c r="S267" s="28"/>
      <c r="T267" s="28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s="2" customFormat="1" x14ac:dyDescent="0.3">
      <c r="A268" s="1"/>
      <c r="B268" s="1"/>
      <c r="C268" s="1"/>
      <c r="E268" s="5" t="s">
        <v>12</v>
      </c>
      <c r="F268" s="8">
        <f>SUM(F289,F153,F195,F44,F21,F311,F132,F90,F111,F174,F69,F221,F247)</f>
        <v>420</v>
      </c>
      <c r="G268" s="8">
        <f>SUM(G289,G153,G195,G44,G21,G311,G132,G90,G111,G174,G69,G221,G247)</f>
        <v>394</v>
      </c>
      <c r="H268" s="8">
        <f>SUM(H289,H153,H195,H44,H21,H311,H132,H90,H111,H174,H69,H221,H247)</f>
        <v>354</v>
      </c>
      <c r="I268" s="8">
        <f>SUM(I289,I153,I195,I44,I21,I311,I132,I90,I111,I174,I69,I221,I247)</f>
        <v>272</v>
      </c>
      <c r="J268" s="8">
        <f>SUM(J289,J153,J195,J44,J21,J311,J132,J90,J111,J174,J69,J221,J247)</f>
        <v>214</v>
      </c>
      <c r="K268" s="8">
        <f>SUM(K289,K153,K195,K44,K21,K311,K132,K90,K111,K174,K69,K221,K247)</f>
        <v>42</v>
      </c>
      <c r="L268" s="8">
        <f>SUM(L289,L153,L195,L44,L21,L311,L132,L90,L111,L174,L69,L221,L247)</f>
        <v>0</v>
      </c>
      <c r="M268" s="8">
        <f>SUM(M289,M153,M195,M44,M21,M311,M132,M90,M111,M174,M69,M221,M247)</f>
        <v>0</v>
      </c>
      <c r="N268" s="8">
        <f>SUM(N289,N153,N195,N44,N21,N311,N132,N90,N111,N174,N69,N221,N247)</f>
        <v>0</v>
      </c>
      <c r="O268" s="8">
        <f>SUM(O289,O153,O195,O44,O21,O311,O132,O90,O111,O174,O69,O221,O247)</f>
        <v>0</v>
      </c>
      <c r="P268" s="8">
        <f>SUM(P289,P153,P195,P44,P21,P311,P132,P90,P111,P174,P69,P221,P247)</f>
        <v>0</v>
      </c>
      <c r="Q268" s="8">
        <f>SUM(Q289,Q153,Q195,Q44,Q21,Q311,Q132,Q90,Q111,Q174,Q69,Q221,Q247)</f>
        <v>0</v>
      </c>
      <c r="S268" s="28"/>
      <c r="T268" s="28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s="2" customFormat="1" x14ac:dyDescent="0.3">
      <c r="A269" s="1"/>
      <c r="B269" s="1"/>
      <c r="C269" s="1"/>
      <c r="E269" s="5" t="s">
        <v>11</v>
      </c>
      <c r="F269" s="8">
        <f>SUM(F290,F154,F196,F45,F22,F312,F133,F91,F112,F175,F70,F222,F248)</f>
        <v>51</v>
      </c>
      <c r="G269" s="8">
        <f>SUM(G290,G154,G196,G45,G22,G312,G133,G91,G112,G175,G70,G222,G248)</f>
        <v>59</v>
      </c>
      <c r="H269" s="8">
        <f>SUM(H290,H154,H196,H45,H22,H312,H133,H91,H112,H175,H70,H222,H248)</f>
        <v>131</v>
      </c>
      <c r="I269" s="8">
        <f>SUM(I290,I154,I196,I45,I22,I312,I133,I91,I112,I175,I70,I222,I248)</f>
        <v>74</v>
      </c>
      <c r="J269" s="8">
        <f>SUM(J290,J154,J196,J45,J22,J312,J133,J91,J112,J175,J70,J222,J248)</f>
        <v>52</v>
      </c>
      <c r="K269" s="8">
        <f>SUM(K290,K154,K196,K45,K22,K312,K133,K91,K112,K175,K70,K222,K248)</f>
        <v>0</v>
      </c>
      <c r="L269" s="8">
        <f>SUM(L290,L154,L196,L45,L22,L312,L133,L91,L112,L175,L70,L222,L248)</f>
        <v>0</v>
      </c>
      <c r="M269" s="8">
        <f>SUM(M290,M154,M196,M45,M22,M312,M133,M91,M112,M175,M70,M222,M248)</f>
        <v>0</v>
      </c>
      <c r="N269" s="8">
        <f>SUM(N290,N154,N196,N45,N22,N312,N133,N91,N112,N175,N70,N222,N248)</f>
        <v>0</v>
      </c>
      <c r="O269" s="8">
        <f>SUM(O290,O154,O196,O45,O22,O312,O133,O91,O112,O175,O70,O222,O248)</f>
        <v>0</v>
      </c>
      <c r="P269" s="8">
        <f>SUM(P290,P154,P196,P45,P22,P312,P133,P91,P112,P175,P70,P222,P248)</f>
        <v>0</v>
      </c>
      <c r="Q269" s="8">
        <f>SUM(Q290,Q154,Q196,Q45,Q22,Q312,Q133,Q91,Q112,Q175,Q70,Q222,Q248)</f>
        <v>0</v>
      </c>
      <c r="S269" s="28"/>
      <c r="T269" s="28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s="2" customFormat="1" x14ac:dyDescent="0.3">
      <c r="A270" s="1"/>
      <c r="B270" s="1"/>
      <c r="C270" s="1"/>
      <c r="E270" s="5" t="s">
        <v>50</v>
      </c>
      <c r="F270" s="8">
        <f>SUM(F291,F155,F197,F46,F23,F313,F134,F92,F113,F176,F71,F223,F249)</f>
        <v>6</v>
      </c>
      <c r="G270" s="8">
        <f>SUM(G291,G155,G197,G46,G23,G313,G134,G92,G113,G176,G71,G223,G249)</f>
        <v>1</v>
      </c>
      <c r="H270" s="8">
        <f>SUM(H291,H155,H197,H46,H23,H313,H134,H92,H113,H176,H71,H223,H249)</f>
        <v>1</v>
      </c>
      <c r="I270" s="8">
        <f>SUM(I291,I155,I197,I46,I23,I313,I134,I92,I113,I176,I71,I223,I249)</f>
        <v>1</v>
      </c>
      <c r="J270" s="8">
        <f>SUM(J291,J155,J197,J46,J23,J313,J134,J92,J113,J176,J71,J223,J249)</f>
        <v>4</v>
      </c>
      <c r="K270" s="8">
        <f>SUM(K291,K155,K197,K46,K23,K313,K134,K92,K113,K176,K71,K223,K249)</f>
        <v>0</v>
      </c>
      <c r="L270" s="8">
        <f>SUM(L291,L155,L197,L46,L23,L313,L134,L92,L113,L176,L71,L223,L249)</f>
        <v>0</v>
      </c>
      <c r="M270" s="8">
        <f>SUM(M291,M155,M197,M46,M23,M313,M134,M92,M113,M176,M71,M223,M249)</f>
        <v>0</v>
      </c>
      <c r="N270" s="8">
        <f>SUM(N291,N155,N197,N46,N23,N313,N134,N92,N113,N176,N71,N223,N249)</f>
        <v>0</v>
      </c>
      <c r="O270" s="8">
        <f>SUM(O291,O155,O197,O46,O23,O313,O134,O92,O113,O176,O71,O223,O249)</f>
        <v>0</v>
      </c>
      <c r="P270" s="8">
        <f>SUM(P291,P155,P197,P46,P23,P313,P134,P92,P113,P176,P71,P223,P249)</f>
        <v>0</v>
      </c>
      <c r="Q270" s="8">
        <f>SUM(Q291,Q155,Q197,Q46,Q23,Q313,Q134,Q92,Q113,Q176,Q71,Q223,Q249)</f>
        <v>0</v>
      </c>
      <c r="S270" s="28"/>
      <c r="T270" s="28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s="2" customFormat="1" x14ac:dyDescent="0.3">
      <c r="A271" s="1"/>
      <c r="B271" s="1"/>
      <c r="C271" s="1"/>
      <c r="E271" s="5" t="s">
        <v>46</v>
      </c>
      <c r="F271" s="8">
        <f>SUM(F292,F156,F198,F47,F24,F314,F135,F93,F114,F177,F72,F224,F250)</f>
        <v>6</v>
      </c>
      <c r="G271" s="8">
        <f>SUM(G292,G156,G198,G47,G24,G314,G135,G93,G114,G177,G72,G224,G250)</f>
        <v>13</v>
      </c>
      <c r="H271" s="8">
        <f>SUM(H292,H156,H198,H47,H24,H314,H135,H93,H114,H177,H72,H224,H250)</f>
        <v>349</v>
      </c>
      <c r="I271" s="8">
        <f>SUM(I292,I156,I198,I47,I24,I314,I135,I93,I114,I177,I72,I224,I250)</f>
        <v>5</v>
      </c>
      <c r="J271" s="8">
        <f>SUM(J292,J156,J198,J47,J24,J314,J135,J93,J114,J177,J72,J224,J250)</f>
        <v>7</v>
      </c>
      <c r="K271" s="8">
        <f>SUM(K292,K156,K198,K47,K24,K314,K135,K93,K114,K177,K72,K224,K250)</f>
        <v>1</v>
      </c>
      <c r="L271" s="8">
        <f>SUM(L292,L156,L198,L47,L24,L314,L135,L93,L114,L177,L72,L224,L250)</f>
        <v>0</v>
      </c>
      <c r="M271" s="8">
        <f>SUM(M292,M156,M198,M47,M24,M314,M135,M93,M114,M177,M72,M224,M250)</f>
        <v>0</v>
      </c>
      <c r="N271" s="8">
        <f>SUM(N292,N156,N198,N47,N24,N314,N135,N93,N114,N177,N72,N224,N250)</f>
        <v>0</v>
      </c>
      <c r="O271" s="8">
        <f>SUM(O292,O156,O198,O47,O24,O314,O135,O93,O114,O177,O72,O224,O250)</f>
        <v>0</v>
      </c>
      <c r="P271" s="8">
        <f>SUM(P292,P156,P198,P47,P24,P314,P135,P93,P114,P177,P72,P224,P250)</f>
        <v>0</v>
      </c>
      <c r="Q271" s="8">
        <f>SUM(Q292,Q156,Q198,Q47,Q24,Q314,Q135,Q93,Q114,Q177,Q72,Q224,Q250)</f>
        <v>0</v>
      </c>
      <c r="S271" s="28"/>
      <c r="T271" s="28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s="2" customFormat="1" x14ac:dyDescent="0.3">
      <c r="A272" s="1"/>
      <c r="B272" s="1"/>
      <c r="C272" s="1"/>
      <c r="E272" s="5" t="s">
        <v>6</v>
      </c>
      <c r="F272" s="23">
        <f>SUM(F293,F157,F199,F48,F25,F315,F136,F94,F115,F178,F73,F225,F251)</f>
        <v>12318121.019999962</v>
      </c>
      <c r="G272" s="23">
        <f>SUM(G293,G157,G199,G48,G25,G315,G136,G94,G115,G178,G73,G225,G251)</f>
        <v>11488658.210441481</v>
      </c>
      <c r="H272" s="23">
        <f>SUM(H293,H157,H199,H48,H25,H315,H136,H94,H115,H178,H73,H225,H251)</f>
        <v>10621113.439999934</v>
      </c>
      <c r="I272" s="23">
        <f>SUM(I293,I157,I199,I48,I25,I315,I136,I94,I115,I178,I73,I225,I251)</f>
        <v>9943829.6599999517</v>
      </c>
      <c r="J272" s="23">
        <f>SUM(J293,J157,J199,J48,J25,J315,J136,J94,J115,J178,J73,J225,J251)</f>
        <v>9693612.2199999616</v>
      </c>
      <c r="K272" s="23">
        <f>SUM(K293,K157,K199,K48,K25,K315,K136,K94,K115,K178,K73,K225,K251)</f>
        <v>6494445.6999999825</v>
      </c>
      <c r="L272" s="23">
        <f>SUM(L293,L157,L199,L48,L25,L315,L136,L94,L115,L178,L73,L225,L251)</f>
        <v>0</v>
      </c>
      <c r="M272" s="23">
        <f>SUM(M293,M157,M199,M48,M25,M315,M136,M94,M115,M178,M73,M225,M251)</f>
        <v>0</v>
      </c>
      <c r="N272" s="23">
        <f>SUM(N293,N157,N199,N48,N25,N315,N136,N94,N115,N178,N73,N225,N251)</f>
        <v>0</v>
      </c>
      <c r="O272" s="23">
        <f>SUM(O293,O157,O199,O48,O25,O315,O136,O94,O115,O178,O73,O225,O251)</f>
        <v>0</v>
      </c>
      <c r="P272" s="23">
        <f>SUM(P293,P157,P199,P48,P25,P315,P136,P94,P115,P178,P73,P225,P251)</f>
        <v>0</v>
      </c>
      <c r="Q272" s="23">
        <f>SUM(Q293,Q157,Q199,Q48,Q25,Q315,Q136,Q94,Q115,Q178,Q73,Q225,Q251)</f>
        <v>0</v>
      </c>
      <c r="S272" s="28"/>
      <c r="T272" s="28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s="2" customFormat="1" x14ac:dyDescent="0.3">
      <c r="A273" s="1"/>
      <c r="B273" s="1"/>
      <c r="C273" s="1"/>
      <c r="E273" s="5" t="s">
        <v>5</v>
      </c>
      <c r="F273" s="23">
        <f>SUM(F294,F158,F200,F49,F26,F316,F137,F95,F116,F179,F74,F226,F252)</f>
        <v>10997569.459999966</v>
      </c>
      <c r="G273" s="23">
        <f>SUM(G294,G158,G200,G49,G26,G316,G137,G95,G116,G179,G74,G226,G252)</f>
        <v>10086423.680411981</v>
      </c>
      <c r="H273" s="23">
        <f>SUM(H294,H158,H200,H49,H26,H316,H137,H95,H116,H179,H74,H226,H252)</f>
        <v>9499013.1099999323</v>
      </c>
      <c r="I273" s="23">
        <f>SUM(I294,I158,I200,I49,I26,I316,I137,I95,I116,I179,I74,I226,I252)</f>
        <v>9120792.3099999521</v>
      </c>
      <c r="J273" s="23">
        <f>SUM(J294,J158,J200,J49,J26,J316,J137,J95,J116,J179,J74,J226,J252)</f>
        <v>8959428.0999999605</v>
      </c>
      <c r="K273" s="23">
        <f>SUM(K294,K158,K200,K49,K26,K316,K137,K95,K116,K179,K74,K226,K252)</f>
        <v>2776824.8499999973</v>
      </c>
      <c r="L273" s="23">
        <f>SUM(L294,L158,L200,L49,L26,L316,L137,L95,L116,L179,L74,L226,L252)</f>
        <v>0</v>
      </c>
      <c r="M273" s="23">
        <f>SUM(M294,M158,M200,M49,M26,M316,M137,M95,M116,M179,M74,M226,M252)</f>
        <v>0</v>
      </c>
      <c r="N273" s="23">
        <f>SUM(N294,N158,N200,N49,N26,N316,N137,N95,N116,N179,N74,N226,N252)</f>
        <v>0</v>
      </c>
      <c r="O273" s="23">
        <f>SUM(O294,O158,O200,O49,O26,O316,O137,O95,O116,O179,O74,O226,O252)</f>
        <v>0</v>
      </c>
      <c r="P273" s="23">
        <f>SUM(P294,P158,P200,P49,P26,P316,P137,P95,P116,P179,P74,P226,P252)</f>
        <v>0</v>
      </c>
      <c r="Q273" s="23">
        <f>SUM(Q294,Q158,Q200,Q49,Q26,Q316,Q137,Q95,Q116,Q179,Q74,Q226,Q252)</f>
        <v>0</v>
      </c>
      <c r="S273" s="28"/>
      <c r="T273" s="28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s="2" customFormat="1" x14ac:dyDescent="0.3">
      <c r="A274" s="1"/>
      <c r="B274" s="1"/>
      <c r="C274" s="1"/>
      <c r="E274" s="5" t="s">
        <v>49</v>
      </c>
      <c r="F274" s="10">
        <f>IFERROR((1-F273/F272),0)</f>
        <v>0.10720397679612992</v>
      </c>
      <c r="G274" s="10">
        <f>IFERROR((1-G273/G272),0)</f>
        <v>0.12205381205919041</v>
      </c>
      <c r="H274" s="10">
        <f>IFERROR((1-H273/H272),0)</f>
        <v>0.10564808824789362</v>
      </c>
      <c r="I274" s="10">
        <f>IFERROR((1-I273/I272),0)</f>
        <v>8.2768649317349952E-2</v>
      </c>
      <c r="J274" s="10">
        <f>IFERROR((1-J273/J272),0)</f>
        <v>7.5738961218731693E-2</v>
      </c>
      <c r="K274" s="10">
        <f>IFERROR((1-K273/K272),0)</f>
        <v>0.57243081576615462</v>
      </c>
      <c r="L274" s="10">
        <f>IFERROR((1-L273/L272),0)</f>
        <v>0</v>
      </c>
      <c r="M274" s="10">
        <f>IFERROR((1-M273/M272),0)</f>
        <v>0</v>
      </c>
      <c r="N274" s="10">
        <f>IFERROR((1-N273/N272),0)</f>
        <v>0</v>
      </c>
      <c r="O274" s="10">
        <f>IFERROR((1-O273/O272),0)</f>
        <v>0</v>
      </c>
      <c r="P274" s="10">
        <f>IFERROR((1-P273/P272),0)</f>
        <v>0</v>
      </c>
      <c r="Q274" s="10">
        <f>IFERROR((1-Q273/Q272),0)</f>
        <v>0</v>
      </c>
      <c r="S274" s="28"/>
      <c r="T274" s="28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s="2" customFormat="1" x14ac:dyDescent="0.3">
      <c r="A275" s="1"/>
      <c r="B275" s="1"/>
      <c r="C275" s="1"/>
      <c r="E275" s="5" t="s">
        <v>3</v>
      </c>
      <c r="F275" s="8">
        <f>SUM(F296,F160,F202,F318,F51,F28,F139,F97,F118,F181,F76,F228,F254)</f>
        <v>203</v>
      </c>
      <c r="G275" s="8">
        <f>SUM(G296,G160,G202,G318,G51,G28,G139,G97,G118,G181,G76,G228,G254)</f>
        <v>104</v>
      </c>
      <c r="H275" s="8">
        <f>SUM(H296,H160,H202,H318,H51,H28,H139,H97,H118,H181,H76,H228,H254)</f>
        <v>101</v>
      </c>
      <c r="I275" s="8">
        <f>SUM(I296,I160,I202,I318,I51,I28,I139,I97,I118,I181,I76,I228,I254)</f>
        <v>196</v>
      </c>
      <c r="J275" s="8">
        <f>SUM(J296,J160,J202,J318,J51,J28,J139,J97,J118,J181,J76,J228,J254)</f>
        <v>416</v>
      </c>
      <c r="K275" s="8">
        <f>SUM(K296,K160,K202,K318,K51,K28,K139,K97,K118,K181,K76,K228,K254)</f>
        <v>321</v>
      </c>
      <c r="L275" s="8">
        <f>SUM(L296,L160,L202,L318,L51,L28,L139,L97,L118,L181,L76,L228,L254)</f>
        <v>0</v>
      </c>
      <c r="M275" s="8">
        <f>SUM(M296,M160,M202,M318,M51,M28,M139,M97,M118,M181,M76,M228,M254)</f>
        <v>0</v>
      </c>
      <c r="N275" s="8">
        <f>SUM(N296,N160,N202,N318,N51,N28,N139,N97,N118,N181,N76,N228,N254)</f>
        <v>0</v>
      </c>
      <c r="O275" s="8">
        <f>SUM(O296,O160,O202,O318,O51,O28,O139,O97,O118,O181,O76,O228,O254)</f>
        <v>0</v>
      </c>
      <c r="P275" s="8">
        <f>SUM(P296,P160,P202,P318,P51,P28,P139,P97,P118,P181,P76,P228,P254)</f>
        <v>0</v>
      </c>
      <c r="Q275" s="8">
        <f>SUM(Q296,Q160,Q202,Q318,Q51,Q28,Q139,Q97,Q118,Q181,Q76,Q228,Q254)</f>
        <v>0</v>
      </c>
      <c r="S275" s="28"/>
      <c r="T275" s="28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s="2" customFormat="1" x14ac:dyDescent="0.3">
      <c r="A276" s="1"/>
      <c r="B276" s="1"/>
      <c r="C276" s="1"/>
      <c r="E276" s="5" t="s">
        <v>2</v>
      </c>
      <c r="F276" s="24">
        <f>IFERROR(F272/F261,0)</f>
        <v>977.47349785747997</v>
      </c>
      <c r="G276" s="24">
        <f>IFERROR(G272/G261,0)</f>
        <v>954.92130416769021</v>
      </c>
      <c r="H276" s="24">
        <f>IFERROR(H272/H261,0)</f>
        <v>963.89086486976441</v>
      </c>
      <c r="I276" s="24">
        <f>IFERROR(I272/I261,0)</f>
        <v>929.50361375957675</v>
      </c>
      <c r="J276" s="24">
        <f>IFERROR(J272/J261,0)</f>
        <v>905.18369782425634</v>
      </c>
      <c r="K276" s="24">
        <f>IFERROR(K272/K261,0)</f>
        <v>591.53344566900284</v>
      </c>
      <c r="L276" s="24">
        <f>IFERROR(L272/L261,0)</f>
        <v>0</v>
      </c>
      <c r="M276" s="24">
        <f>IFERROR(M272/M261,0)</f>
        <v>0</v>
      </c>
      <c r="N276" s="24">
        <f>IFERROR(N272/N261,0)</f>
        <v>0</v>
      </c>
      <c r="O276" s="24">
        <f>IFERROR(O272/O261,0)</f>
        <v>0</v>
      </c>
      <c r="P276" s="24">
        <f>IFERROR(P272/P261,0)</f>
        <v>0</v>
      </c>
      <c r="Q276" s="24">
        <f>IFERROR(Q272/Q261,0)</f>
        <v>0</v>
      </c>
      <c r="S276" s="28"/>
      <c r="T276" s="28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s="2" customFormat="1" x14ac:dyDescent="0.3">
      <c r="A277" s="1"/>
      <c r="B277" s="1"/>
      <c r="C277" s="1"/>
      <c r="E277" s="5" t="s">
        <v>1</v>
      </c>
      <c r="F277" s="24">
        <v>0</v>
      </c>
      <c r="G277" s="24">
        <v>0</v>
      </c>
      <c r="H277" s="24">
        <v>0</v>
      </c>
      <c r="I277" s="24">
        <v>0</v>
      </c>
      <c r="J277" s="24">
        <v>0</v>
      </c>
      <c r="K277" s="24">
        <v>0</v>
      </c>
      <c r="L277" s="24">
        <v>0</v>
      </c>
      <c r="M277" s="24">
        <v>0</v>
      </c>
      <c r="N277" s="24">
        <v>0</v>
      </c>
      <c r="O277" s="24">
        <v>0</v>
      </c>
      <c r="P277" s="24">
        <v>0</v>
      </c>
      <c r="Q277" s="24">
        <v>0</v>
      </c>
      <c r="S277" s="28"/>
      <c r="T277" s="28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s="2" customFormat="1" x14ac:dyDescent="0.3">
      <c r="A278" s="1"/>
      <c r="B278" s="1"/>
      <c r="C278" s="1"/>
      <c r="E278" s="5" t="s">
        <v>0</v>
      </c>
      <c r="F278" s="24">
        <v>0</v>
      </c>
      <c r="G278" s="24">
        <v>0</v>
      </c>
      <c r="H278" s="24">
        <v>0</v>
      </c>
      <c r="I278" s="24">
        <v>0</v>
      </c>
      <c r="J278" s="24">
        <v>0</v>
      </c>
      <c r="K278" s="24">
        <v>0</v>
      </c>
      <c r="L278" s="24">
        <v>0</v>
      </c>
      <c r="M278" s="24">
        <v>0</v>
      </c>
      <c r="N278" s="24">
        <v>0</v>
      </c>
      <c r="O278" s="24">
        <v>0</v>
      </c>
      <c r="P278" s="24">
        <v>0</v>
      </c>
      <c r="Q278" s="24">
        <v>0</v>
      </c>
      <c r="S278" s="28"/>
      <c r="T278" s="28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s="2" customFormat="1" ht="4.2" customHeight="1" x14ac:dyDescent="0.3"/>
    <row r="280" spans="1:107" s="2" customFormat="1" x14ac:dyDescent="0.3">
      <c r="A280" s="1"/>
      <c r="B280" s="1"/>
      <c r="C280" s="1"/>
      <c r="E280" s="54" t="s">
        <v>33</v>
      </c>
      <c r="F280" s="54" t="s">
        <v>32</v>
      </c>
      <c r="G280" s="54" t="s">
        <v>31</v>
      </c>
      <c r="H280" s="54" t="s">
        <v>30</v>
      </c>
      <c r="I280" s="54" t="s">
        <v>29</v>
      </c>
      <c r="J280" s="54" t="s">
        <v>28</v>
      </c>
      <c r="K280" s="54" t="s">
        <v>27</v>
      </c>
      <c r="L280" s="54" t="s">
        <v>26</v>
      </c>
      <c r="M280" s="54" t="s">
        <v>25</v>
      </c>
      <c r="N280" s="54" t="s">
        <v>24</v>
      </c>
      <c r="O280" s="54" t="s">
        <v>23</v>
      </c>
      <c r="P280" s="54" t="s">
        <v>22</v>
      </c>
      <c r="Q280" s="54" t="s">
        <v>21</v>
      </c>
      <c r="S280" s="28"/>
      <c r="T280" s="28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x14ac:dyDescent="0.3">
      <c r="E281" s="5" t="s">
        <v>20</v>
      </c>
      <c r="F281" s="8">
        <v>0</v>
      </c>
      <c r="G281" s="8">
        <v>0</v>
      </c>
      <c r="H281" s="8">
        <v>0</v>
      </c>
      <c r="I281" s="8">
        <v>0</v>
      </c>
      <c r="J281" s="8">
        <v>0</v>
      </c>
      <c r="K281" s="8">
        <v>0</v>
      </c>
      <c r="L281" s="8">
        <v>0</v>
      </c>
      <c r="M281" s="8">
        <v>0</v>
      </c>
      <c r="N281" s="8">
        <v>0</v>
      </c>
      <c r="O281" s="8">
        <v>0</v>
      </c>
      <c r="P281" s="8">
        <v>0</v>
      </c>
      <c r="Q281" s="8">
        <v>0</v>
      </c>
    </row>
    <row r="282" spans="1:107" s="2" customFormat="1" x14ac:dyDescent="0.3">
      <c r="A282" s="1"/>
      <c r="B282" s="1"/>
      <c r="C282" s="1"/>
      <c r="E282" s="5" t="s">
        <v>19</v>
      </c>
      <c r="F282" s="8">
        <f>SUM(F283:F284)</f>
        <v>20</v>
      </c>
      <c r="G282" s="8">
        <f>SUM(G283:G284)</f>
        <v>18</v>
      </c>
      <c r="H282" s="8">
        <f>SUM(H283:H284)</f>
        <v>18</v>
      </c>
      <c r="I282" s="8">
        <f>SUM(I283:I284)</f>
        <v>18</v>
      </c>
      <c r="J282" s="8">
        <f>SUM(J283:J284)</f>
        <v>18</v>
      </c>
      <c r="K282" s="8">
        <f>SUM(K283:K284)</f>
        <v>18</v>
      </c>
      <c r="L282" s="8">
        <f>SUM(L283:L284)</f>
        <v>0</v>
      </c>
      <c r="M282" s="8">
        <f>SUM(M283:M284)</f>
        <v>0</v>
      </c>
      <c r="N282" s="8">
        <f>SUM(N283:N284)</f>
        <v>0</v>
      </c>
      <c r="O282" s="8">
        <f>SUM(O283:O284)</f>
        <v>0</v>
      </c>
      <c r="P282" s="8">
        <f>SUM(P283:P284)</f>
        <v>0</v>
      </c>
      <c r="Q282" s="8">
        <f>SUM(Q283:Q284)</f>
        <v>0</v>
      </c>
      <c r="S282" s="28"/>
      <c r="T282" s="28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s="2" customFormat="1" x14ac:dyDescent="0.3">
      <c r="A283" s="1"/>
      <c r="B283" s="1"/>
      <c r="C283" s="1"/>
      <c r="E283" s="14" t="s">
        <v>41</v>
      </c>
      <c r="F283" s="8">
        <v>0</v>
      </c>
      <c r="G283" s="8">
        <v>0</v>
      </c>
      <c r="H283" s="8">
        <v>0</v>
      </c>
      <c r="I283" s="8">
        <v>0</v>
      </c>
      <c r="J283" s="8">
        <v>0</v>
      </c>
      <c r="K283" s="8">
        <v>0</v>
      </c>
      <c r="L283" s="8">
        <v>0</v>
      </c>
      <c r="M283" s="8">
        <v>0</v>
      </c>
      <c r="N283" s="8">
        <v>0</v>
      </c>
      <c r="O283" s="8">
        <v>0</v>
      </c>
      <c r="P283" s="8">
        <v>0</v>
      </c>
      <c r="Q283" s="8">
        <v>0</v>
      </c>
      <c r="S283" s="28"/>
      <c r="T283" s="28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s="2" customFormat="1" x14ac:dyDescent="0.3">
      <c r="A284" s="1"/>
      <c r="B284" s="1"/>
      <c r="C284" s="1"/>
      <c r="E284" s="14" t="s">
        <v>40</v>
      </c>
      <c r="F284" s="8">
        <v>20</v>
      </c>
      <c r="G284" s="8">
        <v>18</v>
      </c>
      <c r="H284" s="8">
        <v>18</v>
      </c>
      <c r="I284" s="8">
        <v>18</v>
      </c>
      <c r="J284" s="8">
        <v>18</v>
      </c>
      <c r="K284" s="8">
        <v>18</v>
      </c>
      <c r="L284" s="8">
        <v>0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S284" s="28"/>
      <c r="T284" s="28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s="2" customFormat="1" x14ac:dyDescent="0.3">
      <c r="A285" s="1"/>
      <c r="B285" s="1"/>
      <c r="C285" s="1"/>
      <c r="E285" s="5" t="s">
        <v>39</v>
      </c>
      <c r="F285" s="8">
        <f>SUM(F288:F292)</f>
        <v>0</v>
      </c>
      <c r="G285" s="8">
        <f>SUM(G288:G292)</f>
        <v>2</v>
      </c>
      <c r="H285" s="8">
        <v>10</v>
      </c>
      <c r="I285" s="8">
        <f>SUM(I288:I292)</f>
        <v>0</v>
      </c>
      <c r="J285" s="8">
        <f>SUM(J288:J292)</f>
        <v>0</v>
      </c>
      <c r="K285" s="8">
        <f>SUM(K288:K292)</f>
        <v>0</v>
      </c>
      <c r="L285" s="8">
        <f>SUM(L288:L292)</f>
        <v>0</v>
      </c>
      <c r="M285" s="8">
        <f>SUM(M288:M292)</f>
        <v>0</v>
      </c>
      <c r="N285" s="8">
        <f>SUM(N288:N292)</f>
        <v>0</v>
      </c>
      <c r="O285" s="8">
        <f>SUM(O288:O292)</f>
        <v>0</v>
      </c>
      <c r="P285" s="8">
        <f>SUM(P288:P292)</f>
        <v>0</v>
      </c>
      <c r="Q285" s="8">
        <f>SUM(Q288:Q292)</f>
        <v>0</v>
      </c>
      <c r="S285" s="28"/>
      <c r="T285" s="28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s="2" customFormat="1" x14ac:dyDescent="0.3">
      <c r="A286" s="1"/>
      <c r="B286" s="1"/>
      <c r="C286" s="1"/>
      <c r="E286" s="5" t="s">
        <v>15</v>
      </c>
      <c r="F286" s="8">
        <v>0</v>
      </c>
      <c r="G286" s="8">
        <v>0</v>
      </c>
      <c r="H286" s="8">
        <v>0</v>
      </c>
      <c r="I286" s="8">
        <v>0</v>
      </c>
      <c r="J286" s="8">
        <v>0</v>
      </c>
      <c r="K286" s="8">
        <v>0</v>
      </c>
      <c r="L286" s="8">
        <v>0</v>
      </c>
      <c r="M286" s="8">
        <v>0</v>
      </c>
      <c r="N286" s="8">
        <v>0</v>
      </c>
      <c r="O286" s="8">
        <v>0</v>
      </c>
      <c r="P286" s="8">
        <v>0</v>
      </c>
      <c r="Q286" s="8">
        <v>0</v>
      </c>
      <c r="S286" s="28"/>
      <c r="T286" s="28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s="2" customFormat="1" x14ac:dyDescent="0.3">
      <c r="A287" s="1"/>
      <c r="B287" s="1"/>
      <c r="C287" s="1"/>
      <c r="E287" s="5" t="s">
        <v>14</v>
      </c>
      <c r="F287" s="10">
        <f>IFERROR(F285/'Relatório Indicadores 24'!Q261,0)</f>
        <v>0</v>
      </c>
      <c r="G287" s="10">
        <f>IFERROR(G285/F282,0)</f>
        <v>0.1</v>
      </c>
      <c r="H287" s="10">
        <f>IFERROR(H285/G282,0)</f>
        <v>0.55555555555555558</v>
      </c>
      <c r="I287" s="10">
        <f>IFERROR(I285/H282,0)</f>
        <v>0</v>
      </c>
      <c r="J287" s="10">
        <f>IFERROR(J285/I282,0)</f>
        <v>0</v>
      </c>
      <c r="K287" s="10">
        <f>IFERROR(K285/J282,0)</f>
        <v>0</v>
      </c>
      <c r="L287" s="10">
        <f>IFERROR(L285/K282,0)</f>
        <v>0</v>
      </c>
      <c r="M287" s="10">
        <f>IFERROR(M285/L282,0)</f>
        <v>0</v>
      </c>
      <c r="N287" s="10">
        <f>IFERROR(N285/M282,0)</f>
        <v>0</v>
      </c>
      <c r="O287" s="10">
        <f>IFERROR(O285/N282,0)</f>
        <v>0</v>
      </c>
      <c r="P287" s="10">
        <f>IFERROR(P285/O282,0)</f>
        <v>0</v>
      </c>
      <c r="Q287" s="10">
        <f>IFERROR(Q285/P282,0)</f>
        <v>0</v>
      </c>
      <c r="S287" s="28"/>
      <c r="T287" s="28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s="2" customFormat="1" x14ac:dyDescent="0.3">
      <c r="A288" s="1"/>
      <c r="B288" s="1"/>
      <c r="C288" s="1"/>
      <c r="E288" s="5" t="s">
        <v>13</v>
      </c>
      <c r="F288" s="8">
        <v>0</v>
      </c>
      <c r="G288" s="8">
        <v>0</v>
      </c>
      <c r="H288" s="8">
        <v>0</v>
      </c>
      <c r="I288" s="8">
        <v>0</v>
      </c>
      <c r="J288" s="8">
        <v>0</v>
      </c>
      <c r="K288" s="8">
        <v>0</v>
      </c>
      <c r="L288" s="8">
        <v>0</v>
      </c>
      <c r="M288" s="8">
        <v>0</v>
      </c>
      <c r="N288" s="8">
        <v>0</v>
      </c>
      <c r="O288" s="8">
        <v>0</v>
      </c>
      <c r="P288" s="8">
        <v>0</v>
      </c>
      <c r="Q288" s="8">
        <v>0</v>
      </c>
      <c r="S288" s="28"/>
      <c r="T288" s="28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s="2" customFormat="1" x14ac:dyDescent="0.3">
      <c r="A289" s="1"/>
      <c r="B289" s="1"/>
      <c r="C289" s="1"/>
      <c r="E289" s="5" t="s">
        <v>12</v>
      </c>
      <c r="F289" s="8">
        <v>0</v>
      </c>
      <c r="G289" s="8">
        <v>2</v>
      </c>
      <c r="H289" s="8">
        <v>1</v>
      </c>
      <c r="I289" s="8">
        <v>0</v>
      </c>
      <c r="J289" s="8">
        <v>0</v>
      </c>
      <c r="K289" s="8">
        <v>0</v>
      </c>
      <c r="L289" s="8">
        <v>0</v>
      </c>
      <c r="M289" s="8">
        <v>0</v>
      </c>
      <c r="N289" s="8">
        <v>0</v>
      </c>
      <c r="O289" s="8">
        <v>0</v>
      </c>
      <c r="P289" s="8">
        <v>0</v>
      </c>
      <c r="Q289" s="8">
        <v>0</v>
      </c>
      <c r="S289" s="28"/>
      <c r="T289" s="28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s="2" customFormat="1" x14ac:dyDescent="0.3">
      <c r="A290" s="1"/>
      <c r="B290" s="1"/>
      <c r="C290" s="1"/>
      <c r="E290" s="5" t="s">
        <v>11</v>
      </c>
      <c r="F290" s="8">
        <v>0</v>
      </c>
      <c r="G290" s="8">
        <v>0</v>
      </c>
      <c r="H290" s="8">
        <v>0</v>
      </c>
      <c r="I290" s="8">
        <v>0</v>
      </c>
      <c r="J290" s="8">
        <v>0</v>
      </c>
      <c r="K290" s="8">
        <v>0</v>
      </c>
      <c r="L290" s="8">
        <v>0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S290" s="28"/>
      <c r="T290" s="28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s="2" customFormat="1" x14ac:dyDescent="0.3">
      <c r="A291" s="1"/>
      <c r="B291" s="1"/>
      <c r="C291" s="1"/>
      <c r="E291" s="5" t="s">
        <v>50</v>
      </c>
      <c r="F291" s="42">
        <v>0</v>
      </c>
      <c r="G291" s="42">
        <v>0</v>
      </c>
      <c r="H291" s="42">
        <v>0</v>
      </c>
      <c r="I291" s="42">
        <v>0</v>
      </c>
      <c r="J291" s="42">
        <v>0</v>
      </c>
      <c r="K291" s="42">
        <v>0</v>
      </c>
      <c r="L291" s="42">
        <v>0</v>
      </c>
      <c r="M291" s="42">
        <v>0</v>
      </c>
      <c r="N291" s="42">
        <v>0</v>
      </c>
      <c r="O291" s="42">
        <v>0</v>
      </c>
      <c r="P291" s="42">
        <v>0</v>
      </c>
      <c r="Q291" s="42">
        <v>0</v>
      </c>
      <c r="S291" s="28"/>
      <c r="T291" s="28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s="2" customFormat="1" x14ac:dyDescent="0.3">
      <c r="A292" s="1"/>
      <c r="B292" s="1"/>
      <c r="C292" s="1"/>
      <c r="E292" s="5" t="s">
        <v>46</v>
      </c>
      <c r="F292" s="42">
        <v>0</v>
      </c>
      <c r="G292" s="42">
        <v>0</v>
      </c>
      <c r="H292" s="42">
        <v>0</v>
      </c>
      <c r="I292" s="42">
        <v>0</v>
      </c>
      <c r="J292" s="42">
        <v>0</v>
      </c>
      <c r="K292" s="42">
        <v>0</v>
      </c>
      <c r="L292" s="42">
        <v>0</v>
      </c>
      <c r="M292" s="42">
        <v>0</v>
      </c>
      <c r="N292" s="42">
        <v>0</v>
      </c>
      <c r="O292" s="42">
        <v>0</v>
      </c>
      <c r="P292" s="42">
        <v>0</v>
      </c>
      <c r="Q292" s="42">
        <v>0</v>
      </c>
      <c r="S292" s="28"/>
      <c r="T292" s="28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s="2" customFormat="1" x14ac:dyDescent="0.3">
      <c r="A293" s="1"/>
      <c r="B293" s="1"/>
      <c r="C293" s="1"/>
      <c r="E293" s="5" t="s">
        <v>6</v>
      </c>
      <c r="F293" s="23">
        <v>26911.21</v>
      </c>
      <c r="G293" s="23">
        <v>25797.93</v>
      </c>
      <c r="H293" s="23">
        <v>25997.03</v>
      </c>
      <c r="I293" s="23">
        <v>25410.230000000003</v>
      </c>
      <c r="J293" s="23">
        <v>25296.86</v>
      </c>
      <c r="K293" s="23">
        <v>9120.23</v>
      </c>
      <c r="L293" s="23">
        <v>0</v>
      </c>
      <c r="M293" s="23">
        <v>0</v>
      </c>
      <c r="N293" s="23">
        <v>0</v>
      </c>
      <c r="O293" s="23">
        <v>0</v>
      </c>
      <c r="P293" s="23">
        <v>0</v>
      </c>
      <c r="Q293" s="23">
        <v>0</v>
      </c>
      <c r="S293" s="28"/>
      <c r="T293" s="28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s="2" customFormat="1" x14ac:dyDescent="0.3">
      <c r="A294" s="1"/>
      <c r="B294" s="1"/>
      <c r="C294" s="1"/>
      <c r="E294" s="5" t="s">
        <v>5</v>
      </c>
      <c r="F294" s="23">
        <v>20646.27</v>
      </c>
      <c r="G294" s="23">
        <v>19347.370000000003</v>
      </c>
      <c r="H294" s="23">
        <v>19031.919999999998</v>
      </c>
      <c r="I294" s="23">
        <v>19031.920000000002</v>
      </c>
      <c r="J294" s="23">
        <v>14676.45</v>
      </c>
      <c r="K294" s="23">
        <v>1112.21</v>
      </c>
      <c r="L294" s="23">
        <v>0</v>
      </c>
      <c r="M294" s="23">
        <v>0</v>
      </c>
      <c r="N294" s="23">
        <v>0</v>
      </c>
      <c r="O294" s="23">
        <v>0</v>
      </c>
      <c r="P294" s="23">
        <v>0</v>
      </c>
      <c r="Q294" s="23">
        <v>0</v>
      </c>
      <c r="S294" s="28"/>
      <c r="T294" s="28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s="2" customFormat="1" x14ac:dyDescent="0.3">
      <c r="A295" s="1"/>
      <c r="B295" s="1"/>
      <c r="C295" s="1"/>
      <c r="E295" s="5" t="s">
        <v>49</v>
      </c>
      <c r="F295" s="10">
        <f>IFERROR((1-F294/F293),0)</f>
        <v>0.23280038318604024</v>
      </c>
      <c r="G295" s="10">
        <f>IFERROR((1-G294/G293),0)</f>
        <v>0.25004176691695801</v>
      </c>
      <c r="H295" s="10">
        <v>0</v>
      </c>
      <c r="I295" s="10">
        <f>IFERROR((1-I294/I293),0)</f>
        <v>0.25101346977182026</v>
      </c>
      <c r="J295" s="10">
        <f>IFERROR((1-J294/J293),0)</f>
        <v>0.41983115691038331</v>
      </c>
      <c r="K295" s="10">
        <f>IFERROR((1-K294/K293),0)</f>
        <v>0.87805022461056348</v>
      </c>
      <c r="L295" s="10">
        <f>IFERROR((1-L294/L293),0)</f>
        <v>0</v>
      </c>
      <c r="M295" s="10">
        <f>IFERROR((1-M294/M293),0)</f>
        <v>0</v>
      </c>
      <c r="N295" s="10">
        <f>IFERROR((1-N294/N293),0)</f>
        <v>0</v>
      </c>
      <c r="O295" s="10">
        <f>IFERROR((1-O294/O293),0)</f>
        <v>0</v>
      </c>
      <c r="P295" s="10">
        <f>IFERROR((1-P294/P293),0)</f>
        <v>0</v>
      </c>
      <c r="Q295" s="10">
        <f>IFERROR((1-Q294/Q293),0)</f>
        <v>0</v>
      </c>
      <c r="S295" s="28"/>
      <c r="T295" s="28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s="2" customFormat="1" x14ac:dyDescent="0.3">
      <c r="A296" s="1"/>
      <c r="B296" s="1"/>
      <c r="C296" s="1"/>
      <c r="E296" s="5" t="s">
        <v>3</v>
      </c>
      <c r="F296" s="8">
        <v>0</v>
      </c>
      <c r="G296" s="8">
        <v>0</v>
      </c>
      <c r="H296" s="8">
        <v>0</v>
      </c>
      <c r="I296" s="8">
        <v>0</v>
      </c>
      <c r="J296" s="8">
        <v>0</v>
      </c>
      <c r="K296" s="8">
        <v>0</v>
      </c>
      <c r="L296" s="8">
        <v>0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S296" s="28"/>
      <c r="T296" s="28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s="2" customFormat="1" x14ac:dyDescent="0.3">
      <c r="A297" s="1"/>
      <c r="B297" s="1"/>
      <c r="C297" s="1"/>
      <c r="E297" s="5" t="s">
        <v>2</v>
      </c>
      <c r="F297" s="24">
        <f>IFERROR(F293/F282,0)</f>
        <v>1345.5605</v>
      </c>
      <c r="G297" s="24">
        <f>IFERROR(G293/G282,0)</f>
        <v>1433.2183333333332</v>
      </c>
      <c r="H297" s="24">
        <v>0</v>
      </c>
      <c r="I297" s="24">
        <f>IFERROR(I293/I282,0)</f>
        <v>1411.6794444444447</v>
      </c>
      <c r="J297" s="24">
        <f>IFERROR(J293/J282,0)</f>
        <v>1405.3811111111111</v>
      </c>
      <c r="K297" s="24">
        <f>IFERROR(K293/K282,0)</f>
        <v>506.67944444444441</v>
      </c>
      <c r="L297" s="24">
        <f>IFERROR(L293/L282,0)</f>
        <v>0</v>
      </c>
      <c r="M297" s="24">
        <f>IFERROR(M293/M282,0)</f>
        <v>0</v>
      </c>
      <c r="N297" s="24">
        <f>IFERROR(N293/N282,0)</f>
        <v>0</v>
      </c>
      <c r="O297" s="24">
        <f>IFERROR(O293/O282,0)</f>
        <v>0</v>
      </c>
      <c r="P297" s="24">
        <f>IFERROR(P293/P282,0)</f>
        <v>0</v>
      </c>
      <c r="Q297" s="24">
        <f>IFERROR(Q293/Q282,0)</f>
        <v>0</v>
      </c>
      <c r="S297" s="28"/>
      <c r="T297" s="28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s="2" customFormat="1" x14ac:dyDescent="0.3">
      <c r="A298" s="1"/>
      <c r="B298" s="1"/>
      <c r="C298" s="1"/>
      <c r="E298" s="5" t="s">
        <v>1</v>
      </c>
      <c r="F298" s="56">
        <v>0</v>
      </c>
      <c r="G298" s="56">
        <v>0</v>
      </c>
      <c r="H298" s="56">
        <v>0</v>
      </c>
      <c r="I298" s="56">
        <v>0</v>
      </c>
      <c r="J298" s="56">
        <v>0</v>
      </c>
      <c r="K298" s="56">
        <v>0</v>
      </c>
      <c r="L298" s="56">
        <v>0</v>
      </c>
      <c r="M298" s="56">
        <v>0</v>
      </c>
      <c r="N298" s="56">
        <v>0</v>
      </c>
      <c r="O298" s="56">
        <v>0</v>
      </c>
      <c r="P298" s="56">
        <v>0</v>
      </c>
      <c r="Q298" s="56">
        <v>0</v>
      </c>
      <c r="S298" s="28"/>
      <c r="T298" s="28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s="2" customFormat="1" x14ac:dyDescent="0.3">
      <c r="A299" s="1"/>
      <c r="B299" s="1"/>
      <c r="C299" s="1"/>
      <c r="E299" s="5" t="s">
        <v>0</v>
      </c>
      <c r="F299" s="56">
        <v>0</v>
      </c>
      <c r="G299" s="56">
        <v>0</v>
      </c>
      <c r="H299" s="56">
        <v>0</v>
      </c>
      <c r="I299" s="56">
        <v>0</v>
      </c>
      <c r="J299" s="56">
        <v>0</v>
      </c>
      <c r="K299" s="56">
        <v>0</v>
      </c>
      <c r="L299" s="56">
        <v>0</v>
      </c>
      <c r="M299" s="56">
        <v>0</v>
      </c>
      <c r="N299" s="56">
        <v>0</v>
      </c>
      <c r="O299" s="56">
        <v>0</v>
      </c>
      <c r="P299" s="56">
        <v>0</v>
      </c>
      <c r="Q299" s="56">
        <v>0</v>
      </c>
      <c r="S299" s="28"/>
      <c r="T299" s="28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s="2" customFormat="1" hidden="1" x14ac:dyDescent="0.3">
      <c r="F300" s="55"/>
      <c r="G300" s="55"/>
      <c r="H300" s="55"/>
      <c r="I300" s="61"/>
      <c r="J300" s="55"/>
      <c r="K300" s="60"/>
      <c r="L300" s="29"/>
      <c r="M300" s="29"/>
      <c r="N300" s="29"/>
      <c r="O300" s="29"/>
      <c r="P300" s="29"/>
      <c r="Q300" s="29"/>
      <c r="S300" s="28"/>
      <c r="T300" s="28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s="2" customFormat="1" hidden="1" x14ac:dyDescent="0.3">
      <c r="F301" s="55"/>
      <c r="G301" s="55"/>
      <c r="H301" s="55"/>
      <c r="I301" s="61"/>
      <c r="J301" s="55"/>
      <c r="K301" s="60"/>
      <c r="L301" s="29"/>
      <c r="M301" s="29"/>
      <c r="N301" s="29"/>
      <c r="O301" s="29"/>
      <c r="P301" s="29"/>
      <c r="Q301" s="29"/>
      <c r="S301" s="28"/>
      <c r="T301" s="28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s="2" customFormat="1" ht="3.6" customHeight="1" x14ac:dyDescent="0.3">
      <c r="F302" s="55"/>
      <c r="G302" s="55"/>
      <c r="H302" s="55"/>
      <c r="I302" s="61"/>
      <c r="J302" s="55"/>
      <c r="K302" s="60"/>
      <c r="L302" s="29"/>
      <c r="M302" s="29"/>
      <c r="N302" s="29"/>
      <c r="O302" s="29"/>
      <c r="P302" s="29"/>
      <c r="Q302" s="29"/>
      <c r="S302" s="28"/>
      <c r="T302" s="28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s="2" customFormat="1" x14ac:dyDescent="0.3">
      <c r="A303" s="1"/>
      <c r="B303" s="1"/>
      <c r="C303" s="1"/>
      <c r="E303" s="54" t="s">
        <v>33</v>
      </c>
      <c r="F303" s="54" t="s">
        <v>32</v>
      </c>
      <c r="G303" s="54" t="s">
        <v>31</v>
      </c>
      <c r="H303" s="54" t="s">
        <v>30</v>
      </c>
      <c r="I303" s="54" t="s">
        <v>29</v>
      </c>
      <c r="J303" s="54" t="s">
        <v>28</v>
      </c>
      <c r="K303" s="54" t="s">
        <v>27</v>
      </c>
      <c r="L303" s="54" t="s">
        <v>26</v>
      </c>
      <c r="M303" s="54" t="s">
        <v>25</v>
      </c>
      <c r="N303" s="54" t="s">
        <v>24</v>
      </c>
      <c r="O303" s="54" t="s">
        <v>23</v>
      </c>
      <c r="P303" s="54" t="s">
        <v>22</v>
      </c>
      <c r="Q303" s="54" t="s">
        <v>21</v>
      </c>
      <c r="S303" s="28"/>
      <c r="T303" s="28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s="2" customFormat="1" x14ac:dyDescent="0.3">
      <c r="A304" s="1"/>
      <c r="B304" s="1"/>
      <c r="C304" s="1"/>
      <c r="E304" s="5" t="s">
        <v>19</v>
      </c>
      <c r="F304" s="8">
        <f>SUM(F305:F306)</f>
        <v>10</v>
      </c>
      <c r="G304" s="8">
        <f>SUM(G305:G306)</f>
        <v>10</v>
      </c>
      <c r="H304" s="8">
        <f>SUM(H305:H306)</f>
        <v>10</v>
      </c>
      <c r="I304" s="8">
        <f>SUM(I305:I306)</f>
        <v>10</v>
      </c>
      <c r="J304" s="8">
        <f>SUM(J305:J306)</f>
        <v>10</v>
      </c>
      <c r="K304" s="8">
        <f>SUM(K305:K306)</f>
        <v>10</v>
      </c>
      <c r="L304" s="8">
        <f>SUM(L305:L306)</f>
        <v>0</v>
      </c>
      <c r="M304" s="8">
        <f>SUM(M305:M306)</f>
        <v>0</v>
      </c>
      <c r="N304" s="8">
        <f>SUM(N305:N306)</f>
        <v>0</v>
      </c>
      <c r="O304" s="8">
        <f>SUM(O305:O306)</f>
        <v>0</v>
      </c>
      <c r="P304" s="8">
        <f>SUM(P305:P306)</f>
        <v>0</v>
      </c>
      <c r="Q304" s="8">
        <f>SUM(Q305:Q306)</f>
        <v>0</v>
      </c>
      <c r="S304" s="28"/>
      <c r="T304" s="28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s="2" customFormat="1" x14ac:dyDescent="0.3">
      <c r="A305" s="1"/>
      <c r="B305" s="1"/>
      <c r="C305" s="1"/>
      <c r="E305" s="14" t="s">
        <v>41</v>
      </c>
      <c r="F305" s="8">
        <v>0</v>
      </c>
      <c r="G305" s="8">
        <v>0</v>
      </c>
      <c r="H305" s="8">
        <v>0</v>
      </c>
      <c r="I305" s="8">
        <v>0</v>
      </c>
      <c r="J305" s="8">
        <v>0</v>
      </c>
      <c r="K305" s="8">
        <v>0</v>
      </c>
      <c r="L305" s="8">
        <v>0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S305" s="28"/>
      <c r="T305" s="28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s="2" customFormat="1" x14ac:dyDescent="0.3">
      <c r="A306" s="1"/>
      <c r="B306" s="1"/>
      <c r="C306" s="1"/>
      <c r="E306" s="14" t="s">
        <v>40</v>
      </c>
      <c r="F306" s="8">
        <v>10</v>
      </c>
      <c r="G306" s="8">
        <v>10</v>
      </c>
      <c r="H306" s="8">
        <v>10</v>
      </c>
      <c r="I306" s="8">
        <v>10</v>
      </c>
      <c r="J306" s="8">
        <v>10</v>
      </c>
      <c r="K306" s="8">
        <v>10</v>
      </c>
      <c r="L306" s="8">
        <v>0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S306" s="28"/>
      <c r="T306" s="28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s="2" customFormat="1" x14ac:dyDescent="0.3">
      <c r="A307" s="1"/>
      <c r="B307" s="1"/>
      <c r="C307" s="1"/>
      <c r="E307" s="5" t="s">
        <v>39</v>
      </c>
      <c r="F307" s="8">
        <f>SUM(F310:F314)</f>
        <v>1</v>
      </c>
      <c r="G307" s="8">
        <f>SUM(G310:G314)</f>
        <v>0</v>
      </c>
      <c r="H307" s="8">
        <f>SUM(H310:H314)</f>
        <v>0</v>
      </c>
      <c r="I307" s="8">
        <f>SUM(I310:I314)</f>
        <v>0</v>
      </c>
      <c r="J307" s="8">
        <f>SUM(J310:J314)</f>
        <v>0</v>
      </c>
      <c r="K307" s="8">
        <f>SUM(K310:K314)</f>
        <v>0</v>
      </c>
      <c r="L307" s="8">
        <f>SUM(L310:L314)</f>
        <v>0</v>
      </c>
      <c r="M307" s="8">
        <f>SUM(M310:M314)</f>
        <v>0</v>
      </c>
      <c r="N307" s="8">
        <f>SUM(N310:N314)</f>
        <v>0</v>
      </c>
      <c r="O307" s="8">
        <f>SUM(O310:O314)</f>
        <v>0</v>
      </c>
      <c r="P307" s="8">
        <f>SUM(P310:P314)</f>
        <v>0</v>
      </c>
      <c r="Q307" s="8">
        <f>SUM(Q310:Q314)</f>
        <v>0</v>
      </c>
      <c r="S307" s="28"/>
      <c r="T307" s="28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s="2" customFormat="1" x14ac:dyDescent="0.3">
      <c r="A308" s="1"/>
      <c r="B308" s="1"/>
      <c r="C308" s="1"/>
      <c r="E308" s="5" t="s">
        <v>15</v>
      </c>
      <c r="F308" s="8">
        <v>0</v>
      </c>
      <c r="G308" s="8">
        <v>0</v>
      </c>
      <c r="H308" s="8">
        <v>0</v>
      </c>
      <c r="I308" s="8">
        <v>0</v>
      </c>
      <c r="J308" s="8">
        <v>0</v>
      </c>
      <c r="K308" s="8">
        <v>0</v>
      </c>
      <c r="L308" s="8">
        <v>0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S308" s="28"/>
      <c r="T308" s="28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s="2" customFormat="1" x14ac:dyDescent="0.3">
      <c r="A309" s="1"/>
      <c r="B309" s="1"/>
      <c r="C309" s="1"/>
      <c r="E309" s="5" t="s">
        <v>14</v>
      </c>
      <c r="F309" s="10">
        <f>IFERROR(F307/'Relatório Indicadores 24'!Q283,0)</f>
        <v>0</v>
      </c>
      <c r="G309" s="10">
        <f>IFERROR(G307/F304,0)</f>
        <v>0</v>
      </c>
      <c r="H309" s="10">
        <f>IFERROR(H307/G304,0)</f>
        <v>0</v>
      </c>
      <c r="I309" s="10">
        <f>IFERROR(I307/H304,0)</f>
        <v>0</v>
      </c>
      <c r="J309" s="10">
        <f>IFERROR(J307/I304,0)</f>
        <v>0</v>
      </c>
      <c r="K309" s="10">
        <f>IFERROR(K307/J304,0)</f>
        <v>0</v>
      </c>
      <c r="L309" s="10">
        <f>IFERROR(L307/K304,0)</f>
        <v>0</v>
      </c>
      <c r="M309" s="10">
        <f>IFERROR(M307/L304,0)</f>
        <v>0</v>
      </c>
      <c r="N309" s="10">
        <f>IFERROR(N307/M304,0)</f>
        <v>0</v>
      </c>
      <c r="O309" s="10">
        <f>IFERROR(O307/N304,0)</f>
        <v>0</v>
      </c>
      <c r="P309" s="10">
        <f>IFERROR(P307/O304,0)</f>
        <v>0</v>
      </c>
      <c r="Q309" s="10">
        <f>IFERROR(Q307/P304,0)</f>
        <v>0</v>
      </c>
      <c r="S309" s="28"/>
      <c r="T309" s="28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s="2" customFormat="1" x14ac:dyDescent="0.3">
      <c r="A310" s="1"/>
      <c r="B310" s="1"/>
      <c r="C310" s="1"/>
      <c r="E310" s="5" t="s">
        <v>13</v>
      </c>
      <c r="F310" s="8">
        <v>0</v>
      </c>
      <c r="G310" s="8">
        <v>0</v>
      </c>
      <c r="H310" s="8">
        <v>0</v>
      </c>
      <c r="I310" s="8">
        <v>0</v>
      </c>
      <c r="J310" s="8">
        <v>0</v>
      </c>
      <c r="K310" s="8">
        <v>0</v>
      </c>
      <c r="L310" s="8">
        <v>0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S310" s="28"/>
      <c r="T310" s="28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s="2" customFormat="1" x14ac:dyDescent="0.3">
      <c r="A311" s="1"/>
      <c r="B311" s="1"/>
      <c r="C311" s="1"/>
      <c r="E311" s="5" t="s">
        <v>12</v>
      </c>
      <c r="F311" s="8">
        <v>1</v>
      </c>
      <c r="G311" s="8">
        <v>0</v>
      </c>
      <c r="H311" s="8">
        <v>0</v>
      </c>
      <c r="I311" s="8">
        <v>0</v>
      </c>
      <c r="J311" s="8">
        <v>0</v>
      </c>
      <c r="K311" s="8">
        <v>0</v>
      </c>
      <c r="L311" s="8">
        <v>0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S311" s="28"/>
      <c r="T311" s="28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s="2" customFormat="1" x14ac:dyDescent="0.3">
      <c r="A312" s="1"/>
      <c r="B312" s="1"/>
      <c r="C312" s="1"/>
      <c r="E312" s="5" t="s">
        <v>11</v>
      </c>
      <c r="F312" s="8">
        <v>0</v>
      </c>
      <c r="G312" s="8">
        <v>0</v>
      </c>
      <c r="H312" s="8">
        <v>0</v>
      </c>
      <c r="I312" s="8">
        <v>0</v>
      </c>
      <c r="J312" s="8">
        <v>0</v>
      </c>
      <c r="K312" s="8">
        <v>0</v>
      </c>
      <c r="L312" s="8">
        <v>0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S312" s="28"/>
      <c r="T312" s="28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s="2" customFormat="1" x14ac:dyDescent="0.3">
      <c r="A313" s="1"/>
      <c r="B313" s="1"/>
      <c r="C313" s="1"/>
      <c r="E313" s="5" t="s">
        <v>50</v>
      </c>
      <c r="F313" s="8">
        <v>0</v>
      </c>
      <c r="G313" s="8">
        <v>0</v>
      </c>
      <c r="H313" s="8">
        <v>0</v>
      </c>
      <c r="I313" s="8">
        <v>0</v>
      </c>
      <c r="J313" s="8">
        <v>0</v>
      </c>
      <c r="K313" s="8">
        <v>0</v>
      </c>
      <c r="L313" s="8">
        <v>0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S313" s="28"/>
      <c r="T313" s="28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s="2" customFormat="1" x14ac:dyDescent="0.3">
      <c r="A314" s="1"/>
      <c r="B314" s="1"/>
      <c r="C314" s="1"/>
      <c r="E314" s="5" t="s">
        <v>46</v>
      </c>
      <c r="F314" s="42">
        <v>0</v>
      </c>
      <c r="G314" s="42">
        <v>0</v>
      </c>
      <c r="H314" s="42">
        <v>0</v>
      </c>
      <c r="I314" s="42">
        <v>0</v>
      </c>
      <c r="J314" s="42">
        <v>0</v>
      </c>
      <c r="K314" s="42">
        <v>0</v>
      </c>
      <c r="L314" s="42">
        <v>0</v>
      </c>
      <c r="M314" s="42">
        <v>0</v>
      </c>
      <c r="N314" s="42">
        <v>0</v>
      </c>
      <c r="O314" s="42">
        <v>0</v>
      </c>
      <c r="P314" s="42">
        <v>0</v>
      </c>
      <c r="Q314" s="42">
        <v>0</v>
      </c>
      <c r="S314" s="28"/>
      <c r="T314" s="28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s="2" customFormat="1" x14ac:dyDescent="0.3">
      <c r="A315" s="1"/>
      <c r="B315" s="1"/>
      <c r="C315" s="1"/>
      <c r="E315" s="5" t="s">
        <v>6</v>
      </c>
      <c r="F315" s="23">
        <v>10040.19</v>
      </c>
      <c r="G315" s="23">
        <v>9551.31</v>
      </c>
      <c r="H315" s="23">
        <v>9551.3100000000013</v>
      </c>
      <c r="I315" s="23">
        <v>6823.88</v>
      </c>
      <c r="J315" s="23">
        <v>6894.24</v>
      </c>
      <c r="K315" s="23">
        <v>6894.24</v>
      </c>
      <c r="L315" s="23">
        <v>0</v>
      </c>
      <c r="M315" s="23">
        <v>0</v>
      </c>
      <c r="N315" s="23">
        <v>0</v>
      </c>
      <c r="O315" s="23">
        <v>0</v>
      </c>
      <c r="P315" s="23">
        <v>0</v>
      </c>
      <c r="Q315" s="23">
        <v>0</v>
      </c>
      <c r="S315" s="28"/>
      <c r="T315" s="28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s="2" customFormat="1" x14ac:dyDescent="0.3">
      <c r="A316" s="1"/>
      <c r="B316" s="1"/>
      <c r="C316" s="1"/>
      <c r="E316" s="5" t="s">
        <v>5</v>
      </c>
      <c r="F316" s="23">
        <v>4416.17</v>
      </c>
      <c r="G316" s="23">
        <v>4416.17</v>
      </c>
      <c r="H316" s="23">
        <v>2182.38</v>
      </c>
      <c r="I316" s="23">
        <v>2182.38</v>
      </c>
      <c r="J316" s="23">
        <v>4130.32</v>
      </c>
      <c r="K316" s="23">
        <v>842.45</v>
      </c>
      <c r="L316" s="23">
        <v>0</v>
      </c>
      <c r="M316" s="23">
        <v>0</v>
      </c>
      <c r="N316" s="23">
        <v>0</v>
      </c>
      <c r="O316" s="23">
        <v>0</v>
      </c>
      <c r="P316" s="23">
        <v>0</v>
      </c>
      <c r="Q316" s="23">
        <v>0</v>
      </c>
      <c r="S316" s="28"/>
      <c r="T316" s="28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s="2" customFormat="1" x14ac:dyDescent="0.3">
      <c r="A317" s="1"/>
      <c r="B317" s="1"/>
      <c r="C317" s="1"/>
      <c r="E317" s="5" t="s">
        <v>49</v>
      </c>
      <c r="F317" s="10">
        <f>IFERROR((1-F316/F315),0)</f>
        <v>0.56015075411919502</v>
      </c>
      <c r="G317" s="10">
        <f>IFERROR((1-G316/G315),0)</f>
        <v>0.5376372455715499</v>
      </c>
      <c r="H317" s="10">
        <f>IFERROR((1-H316/H315),0)</f>
        <v>0.77150987665566295</v>
      </c>
      <c r="I317" s="10">
        <f>IFERROR((1-I316/I315),0)</f>
        <v>0.68018488015615741</v>
      </c>
      <c r="J317" s="10">
        <f>IFERROR((1-J316/J315),0)</f>
        <v>0.40090278261273182</v>
      </c>
      <c r="K317" s="10">
        <f>IFERROR((1-K316/K315),0)</f>
        <v>0.87780378983035112</v>
      </c>
      <c r="L317" s="10">
        <f>IFERROR((1-L316/L315),0)</f>
        <v>0</v>
      </c>
      <c r="M317" s="10">
        <f>IFERROR((1-M316/M315),0)</f>
        <v>0</v>
      </c>
      <c r="N317" s="10">
        <f>IFERROR((1-N316/N315),0)</f>
        <v>0</v>
      </c>
      <c r="O317" s="10">
        <f>IFERROR((1-O316/O315),0)</f>
        <v>0</v>
      </c>
      <c r="P317" s="10">
        <f>IFERROR((1-P316/P315),0)</f>
        <v>0</v>
      </c>
      <c r="Q317" s="10">
        <f>IFERROR((1-Q316/Q315),0)</f>
        <v>0</v>
      </c>
      <c r="S317" s="28"/>
      <c r="T317" s="28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s="2" customFormat="1" x14ac:dyDescent="0.3">
      <c r="A318" s="1"/>
      <c r="B318" s="1"/>
      <c r="C318" s="1"/>
      <c r="E318" s="5" t="s">
        <v>3</v>
      </c>
      <c r="F318" s="8">
        <v>0</v>
      </c>
      <c r="G318" s="8">
        <v>0</v>
      </c>
      <c r="H318" s="8">
        <v>0</v>
      </c>
      <c r="I318" s="8">
        <v>0</v>
      </c>
      <c r="J318" s="8">
        <v>0</v>
      </c>
      <c r="K318" s="8">
        <v>0</v>
      </c>
      <c r="L318" s="8">
        <v>0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S318" s="28"/>
      <c r="T318" s="28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s="2" customFormat="1" x14ac:dyDescent="0.3">
      <c r="A319" s="1"/>
      <c r="B319" s="1"/>
      <c r="C319" s="1"/>
      <c r="E319" s="5" t="s">
        <v>2</v>
      </c>
      <c r="F319" s="24">
        <f>IFERROR(F315/F304,0)</f>
        <v>1004.019</v>
      </c>
      <c r="G319" s="24">
        <f>IFERROR(G315/G304,0)</f>
        <v>955.13099999999997</v>
      </c>
      <c r="H319" s="24">
        <f>IFERROR(H315/H304,0)</f>
        <v>955.13100000000009</v>
      </c>
      <c r="I319" s="24">
        <f>IFERROR(I315/I304,0)</f>
        <v>682.38800000000003</v>
      </c>
      <c r="J319" s="24">
        <f>IFERROR(J315/J304,0)</f>
        <v>689.42399999999998</v>
      </c>
      <c r="K319" s="24">
        <f>IFERROR(K315/K304,0)</f>
        <v>689.42399999999998</v>
      </c>
      <c r="L319" s="24">
        <f>IFERROR(L315/L304,0)</f>
        <v>0</v>
      </c>
      <c r="M319" s="24">
        <f>IFERROR(M315/M304,0)</f>
        <v>0</v>
      </c>
      <c r="N319" s="24">
        <f>IFERROR(N315/N304,0)</f>
        <v>0</v>
      </c>
      <c r="O319" s="24">
        <f>IFERROR(O315/O304,0)</f>
        <v>0</v>
      </c>
      <c r="P319" s="24">
        <f>IFERROR(P315/P304,0)</f>
        <v>0</v>
      </c>
      <c r="Q319" s="24">
        <f>IFERROR(Q315/Q304,0)</f>
        <v>0</v>
      </c>
      <c r="S319" s="28"/>
      <c r="T319" s="28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s="2" customFormat="1" x14ac:dyDescent="0.3">
      <c r="A320" s="1"/>
      <c r="B320" s="1"/>
      <c r="C320" s="1"/>
      <c r="E320" s="5" t="s">
        <v>1</v>
      </c>
      <c r="F320" s="24">
        <f>IFERROR(F316/F305,0)</f>
        <v>0</v>
      </c>
      <c r="G320" s="24">
        <f>IFERROR(G316/G305,0)</f>
        <v>0</v>
      </c>
      <c r="H320" s="24">
        <f>IFERROR(H316/H305,0)</f>
        <v>0</v>
      </c>
      <c r="I320" s="24">
        <f>IFERROR(I316/I305,0)</f>
        <v>0</v>
      </c>
      <c r="J320" s="24">
        <f>IFERROR(J316/J305,0)</f>
        <v>0</v>
      </c>
      <c r="K320" s="24">
        <f>IFERROR(K316/K305,0)</f>
        <v>0</v>
      </c>
      <c r="L320" s="24">
        <f>IFERROR(L316/L305,0)</f>
        <v>0</v>
      </c>
      <c r="M320" s="24">
        <f>IFERROR(M316/M305,0)</f>
        <v>0</v>
      </c>
      <c r="N320" s="24">
        <f>IFERROR(N316/N305,0)</f>
        <v>0</v>
      </c>
      <c r="O320" s="24">
        <f>IFERROR(O316/O305,0)</f>
        <v>0</v>
      </c>
      <c r="P320" s="24">
        <f>IFERROR(P316/P305,0)</f>
        <v>0</v>
      </c>
      <c r="Q320" s="24">
        <f>IFERROR(Q316/Q305,0)</f>
        <v>0</v>
      </c>
      <c r="S320" s="28"/>
      <c r="T320" s="28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s="2" customFormat="1" ht="15" customHeight="1" x14ac:dyDescent="0.3">
      <c r="A321" s="1"/>
      <c r="B321" s="1"/>
      <c r="C321" s="1"/>
      <c r="E321" s="5" t="s">
        <v>0</v>
      </c>
      <c r="F321" s="56">
        <v>0</v>
      </c>
      <c r="G321" s="56">
        <v>0</v>
      </c>
      <c r="H321" s="56">
        <v>0</v>
      </c>
      <c r="I321" s="56">
        <v>0</v>
      </c>
      <c r="J321" s="56">
        <v>0</v>
      </c>
      <c r="K321" s="56">
        <v>0</v>
      </c>
      <c r="L321" s="56">
        <v>0</v>
      </c>
      <c r="M321" s="56">
        <v>0</v>
      </c>
      <c r="N321" s="56">
        <v>0</v>
      </c>
      <c r="O321" s="56">
        <v>0</v>
      </c>
      <c r="P321" s="56">
        <v>0</v>
      </c>
      <c r="Q321" s="56">
        <v>0</v>
      </c>
      <c r="S321" s="28"/>
      <c r="T321" s="28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s="2" customFormat="1" ht="3" customHeight="1" x14ac:dyDescent="0.3">
      <c r="F322" s="56">
        <v>0</v>
      </c>
      <c r="G322" s="56">
        <v>0</v>
      </c>
      <c r="H322" s="56">
        <v>0</v>
      </c>
      <c r="I322" s="56">
        <v>0</v>
      </c>
      <c r="J322" s="56">
        <v>0</v>
      </c>
      <c r="K322" s="56">
        <v>0</v>
      </c>
      <c r="L322" s="56">
        <v>0</v>
      </c>
      <c r="M322" s="56">
        <v>0</v>
      </c>
      <c r="N322" s="56">
        <v>0</v>
      </c>
      <c r="O322" s="56">
        <v>0</v>
      </c>
      <c r="P322" s="56">
        <v>0</v>
      </c>
      <c r="Q322" s="56">
        <v>0</v>
      </c>
      <c r="S322" s="28"/>
      <c r="T322" s="28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s="2" customFormat="1" x14ac:dyDescent="0.3">
      <c r="A323" s="70"/>
      <c r="B323" s="70"/>
      <c r="C323" s="70"/>
      <c r="E323" s="54" t="s">
        <v>33</v>
      </c>
      <c r="F323" s="54" t="s">
        <v>32</v>
      </c>
      <c r="G323" s="54" t="s">
        <v>31</v>
      </c>
      <c r="H323" s="54" t="s">
        <v>30</v>
      </c>
      <c r="I323" s="54" t="s">
        <v>29</v>
      </c>
      <c r="J323" s="54" t="s">
        <v>28</v>
      </c>
      <c r="K323" s="54" t="s">
        <v>27</v>
      </c>
      <c r="L323" s="54" t="s">
        <v>26</v>
      </c>
      <c r="M323" s="54" t="s">
        <v>25</v>
      </c>
      <c r="N323" s="54" t="s">
        <v>24</v>
      </c>
      <c r="O323" s="54" t="s">
        <v>23</v>
      </c>
      <c r="P323" s="54" t="s">
        <v>22</v>
      </c>
      <c r="Q323" s="54" t="s">
        <v>21</v>
      </c>
      <c r="S323" s="28"/>
      <c r="T323" s="28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x14ac:dyDescent="0.3">
      <c r="A324" s="70"/>
      <c r="B324" s="70"/>
      <c r="C324" s="70"/>
      <c r="E324" s="5" t="s">
        <v>20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</v>
      </c>
      <c r="M324" s="8">
        <v>0</v>
      </c>
      <c r="N324" s="8">
        <v>0</v>
      </c>
      <c r="O324" s="8">
        <v>0</v>
      </c>
      <c r="P324" s="8">
        <v>0</v>
      </c>
      <c r="Q324" s="8">
        <v>0</v>
      </c>
    </row>
    <row r="325" spans="1:107" s="2" customFormat="1" x14ac:dyDescent="0.3">
      <c r="A325" s="70"/>
      <c r="B325" s="70"/>
      <c r="C325" s="70"/>
      <c r="E325" s="5" t="s">
        <v>19</v>
      </c>
      <c r="F325" s="8">
        <f>SUM(F326:F327)</f>
        <v>394</v>
      </c>
      <c r="G325" s="8">
        <f>SUM(G326:G327)</f>
        <v>393</v>
      </c>
      <c r="H325" s="8">
        <f>SUM(H326:H327)</f>
        <v>393</v>
      </c>
      <c r="I325" s="8">
        <f>SUM(I326:I327)</f>
        <v>392</v>
      </c>
      <c r="J325" s="8">
        <f>SUM(J326:J327)</f>
        <v>389</v>
      </c>
      <c r="K325" s="8">
        <f>SUM(K326:K327)</f>
        <v>389</v>
      </c>
      <c r="L325" s="8">
        <f>SUM(L326:L327)</f>
        <v>0</v>
      </c>
      <c r="M325" s="8">
        <f>SUM(M326:M327)</f>
        <v>0</v>
      </c>
      <c r="N325" s="8">
        <f>SUM(N326:N327)</f>
        <v>0</v>
      </c>
      <c r="O325" s="8">
        <f>SUM(O326:O327)</f>
        <v>0</v>
      </c>
      <c r="P325" s="8">
        <f>SUM(P326:P327)</f>
        <v>0</v>
      </c>
      <c r="Q325" s="8">
        <f>SUM(Q326:Q327)</f>
        <v>0</v>
      </c>
      <c r="S325" s="28"/>
      <c r="T325" s="28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s="2" customFormat="1" x14ac:dyDescent="0.3">
      <c r="A326" s="70"/>
      <c r="B326" s="70"/>
      <c r="C326" s="70"/>
      <c r="E326" s="14" t="s">
        <v>41</v>
      </c>
      <c r="F326" s="8">
        <v>394</v>
      </c>
      <c r="G326" s="8">
        <v>393</v>
      </c>
      <c r="H326" s="8">
        <v>384</v>
      </c>
      <c r="I326" s="8">
        <v>384</v>
      </c>
      <c r="J326" s="8">
        <v>381</v>
      </c>
      <c r="K326" s="8">
        <v>381</v>
      </c>
      <c r="L326" s="8">
        <v>0</v>
      </c>
      <c r="M326" s="8">
        <v>0</v>
      </c>
      <c r="N326" s="8">
        <v>0</v>
      </c>
      <c r="O326" s="8">
        <v>0</v>
      </c>
      <c r="P326" s="8">
        <v>0</v>
      </c>
      <c r="Q326" s="8">
        <v>0</v>
      </c>
      <c r="S326" s="28"/>
      <c r="T326" s="28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s="2" customFormat="1" x14ac:dyDescent="0.3">
      <c r="A327" s="70"/>
      <c r="B327" s="70"/>
      <c r="C327" s="70"/>
      <c r="E327" s="14" t="s">
        <v>40</v>
      </c>
      <c r="F327" s="8">
        <v>0</v>
      </c>
      <c r="G327" s="8">
        <v>0</v>
      </c>
      <c r="H327" s="8">
        <v>9</v>
      </c>
      <c r="I327" s="8">
        <v>8</v>
      </c>
      <c r="J327" s="8">
        <v>8</v>
      </c>
      <c r="K327" s="8">
        <v>8</v>
      </c>
      <c r="L327" s="8">
        <v>0</v>
      </c>
      <c r="M327" s="8">
        <v>0</v>
      </c>
      <c r="N327" s="8">
        <v>0</v>
      </c>
      <c r="O327" s="8">
        <v>0</v>
      </c>
      <c r="P327" s="8">
        <v>0</v>
      </c>
      <c r="Q327" s="8">
        <v>0</v>
      </c>
      <c r="S327" s="28"/>
      <c r="T327" s="28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s="2" customFormat="1" x14ac:dyDescent="0.3">
      <c r="A328" s="70"/>
      <c r="B328" s="70"/>
      <c r="C328" s="70"/>
      <c r="E328" s="5" t="s">
        <v>39</v>
      </c>
      <c r="F328" s="8">
        <f>SUM(F331:F335)</f>
        <v>1</v>
      </c>
      <c r="G328" s="8">
        <f>SUM(G331:G335)</f>
        <v>2</v>
      </c>
      <c r="H328" s="8">
        <f>SUM(H331:H335)</f>
        <v>1</v>
      </c>
      <c r="I328" s="8">
        <f>SUM(I331:I335)</f>
        <v>4</v>
      </c>
      <c r="J328" s="8">
        <f>SUM(J331:J335)</f>
        <v>3</v>
      </c>
      <c r="K328" s="8">
        <f>SUM(K331:K335)</f>
        <v>0</v>
      </c>
      <c r="L328" s="8">
        <f>SUM(L331:L335)</f>
        <v>0</v>
      </c>
      <c r="M328" s="8">
        <f>SUM(M331:M335)</f>
        <v>0</v>
      </c>
      <c r="N328" s="8">
        <f>SUM(N331:N335)</f>
        <v>0</v>
      </c>
      <c r="O328" s="8">
        <f>SUM(O331:O335)</f>
        <v>0</v>
      </c>
      <c r="P328" s="8">
        <f>SUM(P331:P335)</f>
        <v>0</v>
      </c>
      <c r="Q328" s="8">
        <f>SUM(Q331:Q335)</f>
        <v>0</v>
      </c>
      <c r="S328" s="28"/>
      <c r="T328" s="28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s="2" customFormat="1" x14ac:dyDescent="0.3">
      <c r="A329" s="70"/>
      <c r="B329" s="70"/>
      <c r="C329" s="70"/>
      <c r="E329" s="5" t="s">
        <v>15</v>
      </c>
      <c r="F329" s="8">
        <v>0</v>
      </c>
      <c r="G329" s="8">
        <v>0</v>
      </c>
      <c r="H329" s="8">
        <v>0</v>
      </c>
      <c r="I329" s="8">
        <v>0</v>
      </c>
      <c r="J329" s="8">
        <v>0</v>
      </c>
      <c r="K329" s="8">
        <v>0</v>
      </c>
      <c r="L329" s="8">
        <v>0</v>
      </c>
      <c r="M329" s="8">
        <v>0</v>
      </c>
      <c r="N329" s="8">
        <v>0</v>
      </c>
      <c r="O329" s="8">
        <v>0</v>
      </c>
      <c r="P329" s="8">
        <v>0</v>
      </c>
      <c r="Q329" s="8">
        <v>0</v>
      </c>
      <c r="S329" s="28"/>
      <c r="T329" s="28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s="2" customFormat="1" x14ac:dyDescent="0.3">
      <c r="A330" s="70"/>
      <c r="B330" s="70"/>
      <c r="C330" s="70"/>
      <c r="E330" s="5" t="s">
        <v>14</v>
      </c>
      <c r="F330" s="10">
        <f>IFERROR(F328/'Relatório Indicadores 24'!Q304,0)</f>
        <v>0</v>
      </c>
      <c r="G330" s="10">
        <f>IFERROR(G328/F325,0)</f>
        <v>5.076142131979695E-3</v>
      </c>
      <c r="H330" s="10">
        <f>IFERROR(H328/G325,0)</f>
        <v>2.5445292620865142E-3</v>
      </c>
      <c r="I330" s="10">
        <f>IFERROR(I328/H325,0)</f>
        <v>1.0178117048346057E-2</v>
      </c>
      <c r="J330" s="10">
        <f>IFERROR(J328/I325,0)</f>
        <v>7.6530612244897957E-3</v>
      </c>
      <c r="K330" s="10">
        <f>IFERROR(K328/J325,0)</f>
        <v>0</v>
      </c>
      <c r="L330" s="10">
        <f>IFERROR(L328/K325,0)</f>
        <v>0</v>
      </c>
      <c r="M330" s="10">
        <f>IFERROR(M328/L325,0)</f>
        <v>0</v>
      </c>
      <c r="N330" s="10">
        <f>IFERROR(N328/M325,0)</f>
        <v>0</v>
      </c>
      <c r="O330" s="10">
        <f>IFERROR(O328/N325,0)</f>
        <v>0</v>
      </c>
      <c r="P330" s="10">
        <f>IFERROR(P328/O325,0)</f>
        <v>0</v>
      </c>
      <c r="Q330" s="10">
        <f>IFERROR(Q328/P325,0)</f>
        <v>0</v>
      </c>
      <c r="S330" s="28"/>
      <c r="T330" s="28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s="2" customFormat="1" x14ac:dyDescent="0.3">
      <c r="A331" s="70"/>
      <c r="B331" s="70"/>
      <c r="C331" s="70"/>
      <c r="E331" s="5" t="s">
        <v>13</v>
      </c>
      <c r="F331" s="8">
        <v>0</v>
      </c>
      <c r="G331" s="8">
        <v>0</v>
      </c>
      <c r="H331" s="8">
        <v>1</v>
      </c>
      <c r="I331" s="8">
        <v>1</v>
      </c>
      <c r="J331" s="8">
        <v>1</v>
      </c>
      <c r="K331" s="8">
        <v>0</v>
      </c>
      <c r="L331" s="8">
        <v>0</v>
      </c>
      <c r="M331" s="8">
        <v>0</v>
      </c>
      <c r="N331" s="8">
        <v>0</v>
      </c>
      <c r="O331" s="8">
        <v>0</v>
      </c>
      <c r="P331" s="8">
        <v>0</v>
      </c>
      <c r="Q331" s="8">
        <v>0</v>
      </c>
      <c r="S331" s="28"/>
      <c r="T331" s="28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s="2" customFormat="1" x14ac:dyDescent="0.3">
      <c r="A332" s="70"/>
      <c r="B332" s="70"/>
      <c r="C332" s="70"/>
      <c r="E332" s="5" t="s">
        <v>12</v>
      </c>
      <c r="F332" s="8">
        <v>1</v>
      </c>
      <c r="G332" s="8">
        <v>2</v>
      </c>
      <c r="H332" s="8">
        <v>0</v>
      </c>
      <c r="I332" s="8">
        <v>3</v>
      </c>
      <c r="J332" s="8">
        <v>2</v>
      </c>
      <c r="K332" s="8">
        <v>0</v>
      </c>
      <c r="L332" s="8">
        <v>0</v>
      </c>
      <c r="M332" s="8">
        <v>0</v>
      </c>
      <c r="N332" s="8">
        <v>0</v>
      </c>
      <c r="O332" s="8">
        <v>0</v>
      </c>
      <c r="P332" s="8">
        <v>0</v>
      </c>
      <c r="Q332" s="8">
        <v>0</v>
      </c>
      <c r="S332" s="28"/>
      <c r="T332" s="28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s="2" customFormat="1" x14ac:dyDescent="0.3">
      <c r="A333" s="70"/>
      <c r="B333" s="70"/>
      <c r="C333" s="70"/>
      <c r="E333" s="5" t="s">
        <v>11</v>
      </c>
      <c r="F333" s="8">
        <v>0</v>
      </c>
      <c r="G333" s="8">
        <v>0</v>
      </c>
      <c r="H333" s="8">
        <v>0</v>
      </c>
      <c r="I333" s="8">
        <v>0</v>
      </c>
      <c r="J333" s="8">
        <v>0</v>
      </c>
      <c r="K333" s="8">
        <v>0</v>
      </c>
      <c r="L333" s="8">
        <v>0</v>
      </c>
      <c r="M333" s="8">
        <v>0</v>
      </c>
      <c r="N333" s="8">
        <v>0</v>
      </c>
      <c r="O333" s="8">
        <v>0</v>
      </c>
      <c r="P333" s="8">
        <v>0</v>
      </c>
      <c r="Q333" s="8">
        <v>0</v>
      </c>
      <c r="S333" s="28"/>
      <c r="T333" s="28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s="2" customFormat="1" x14ac:dyDescent="0.3">
      <c r="A334" s="70"/>
      <c r="B334" s="70"/>
      <c r="C334" s="70"/>
      <c r="E334" s="5" t="s">
        <v>50</v>
      </c>
      <c r="F334" s="8">
        <v>0</v>
      </c>
      <c r="G334" s="8">
        <v>0</v>
      </c>
      <c r="H334" s="8">
        <v>0</v>
      </c>
      <c r="I334" s="8">
        <v>0</v>
      </c>
      <c r="J334" s="8">
        <v>0</v>
      </c>
      <c r="K334" s="8">
        <v>0</v>
      </c>
      <c r="L334" s="8">
        <v>0</v>
      </c>
      <c r="M334" s="8">
        <v>0</v>
      </c>
      <c r="N334" s="8">
        <v>0</v>
      </c>
      <c r="O334" s="8">
        <v>0</v>
      </c>
      <c r="P334" s="8">
        <v>0</v>
      </c>
      <c r="Q334" s="8">
        <v>0</v>
      </c>
      <c r="S334" s="28"/>
      <c r="T334" s="28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s="2" customFormat="1" x14ac:dyDescent="0.3">
      <c r="A335" s="70"/>
      <c r="B335" s="70"/>
      <c r="C335" s="70"/>
      <c r="E335" s="5" t="s">
        <v>46</v>
      </c>
      <c r="F335" s="8">
        <v>0</v>
      </c>
      <c r="G335" s="8">
        <v>0</v>
      </c>
      <c r="H335" s="8">
        <v>0</v>
      </c>
      <c r="I335" s="8">
        <v>0</v>
      </c>
      <c r="J335" s="8">
        <v>0</v>
      </c>
      <c r="K335" s="8">
        <v>0</v>
      </c>
      <c r="L335" s="8">
        <v>0</v>
      </c>
      <c r="M335" s="8">
        <v>0</v>
      </c>
      <c r="N335" s="8">
        <v>0</v>
      </c>
      <c r="O335" s="8">
        <v>0</v>
      </c>
      <c r="P335" s="8">
        <v>0</v>
      </c>
      <c r="Q335" s="8">
        <v>0</v>
      </c>
      <c r="S335" s="28"/>
      <c r="T335" s="28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s="2" customFormat="1" x14ac:dyDescent="0.3">
      <c r="A336" s="70"/>
      <c r="B336" s="70"/>
      <c r="C336" s="70"/>
      <c r="E336" s="5" t="s">
        <v>6</v>
      </c>
      <c r="F336" s="23">
        <v>299.39999999999998</v>
      </c>
      <c r="G336" s="23">
        <v>299.39999999999998</v>
      </c>
      <c r="H336" s="23">
        <v>299.39999999999998</v>
      </c>
      <c r="I336" s="23">
        <v>249.5</v>
      </c>
      <c r="J336" s="23">
        <v>249.5</v>
      </c>
      <c r="K336" s="23">
        <v>99.8</v>
      </c>
      <c r="L336" s="23">
        <v>0</v>
      </c>
      <c r="M336" s="23">
        <v>0</v>
      </c>
      <c r="N336" s="23">
        <v>0</v>
      </c>
      <c r="O336" s="23">
        <v>0</v>
      </c>
      <c r="P336" s="23">
        <v>0</v>
      </c>
      <c r="Q336" s="23">
        <v>0</v>
      </c>
      <c r="S336" s="28"/>
      <c r="T336" s="28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s="2" customFormat="1" x14ac:dyDescent="0.3">
      <c r="A337" s="70"/>
      <c r="B337" s="70"/>
      <c r="C337" s="70"/>
      <c r="E337" s="5" t="s">
        <v>5</v>
      </c>
      <c r="F337" s="23">
        <v>249.5</v>
      </c>
      <c r="G337" s="23">
        <v>199.6</v>
      </c>
      <c r="H337" s="23">
        <v>199.6</v>
      </c>
      <c r="I337" s="23">
        <v>49.9</v>
      </c>
      <c r="J337" s="23">
        <v>99.8</v>
      </c>
      <c r="K337" s="23">
        <v>49.9</v>
      </c>
      <c r="L337" s="23">
        <v>0</v>
      </c>
      <c r="M337" s="23">
        <v>0</v>
      </c>
      <c r="N337" s="23">
        <v>0</v>
      </c>
      <c r="O337" s="23">
        <v>0</v>
      </c>
      <c r="P337" s="23">
        <v>0</v>
      </c>
      <c r="Q337" s="23">
        <v>0</v>
      </c>
      <c r="S337" s="28"/>
      <c r="T337" s="28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s="2" customFormat="1" x14ac:dyDescent="0.3">
      <c r="A338" s="70"/>
      <c r="B338" s="70"/>
      <c r="C338" s="70"/>
      <c r="E338" s="5" t="s">
        <v>49</v>
      </c>
      <c r="F338" s="10">
        <f>IFERROR((1-F337/F336),0)</f>
        <v>0.16666666666666663</v>
      </c>
      <c r="G338" s="10">
        <f>IFERROR((1-G337/G336),0)</f>
        <v>0.33333333333333326</v>
      </c>
      <c r="H338" s="10">
        <f>IFERROR((1-H337/H336),0)</f>
        <v>0.33333333333333326</v>
      </c>
      <c r="I338" s="10">
        <f>IFERROR((1-I337/I336),0)</f>
        <v>0.8</v>
      </c>
      <c r="J338" s="10">
        <f>IFERROR((1-J337/J336),0)</f>
        <v>0.60000000000000009</v>
      </c>
      <c r="K338" s="10">
        <f>IFERROR((1-K337/K336),0)</f>
        <v>0.5</v>
      </c>
      <c r="L338" s="10">
        <f>IFERROR((1-L337/L336),0)</f>
        <v>0</v>
      </c>
      <c r="M338" s="10">
        <f>IFERROR((1-M337/M336),0)</f>
        <v>0</v>
      </c>
      <c r="N338" s="10">
        <f>IFERROR((1-N337/N336),0)</f>
        <v>0</v>
      </c>
      <c r="O338" s="10">
        <f>IFERROR((1-O337/O336),0)</f>
        <v>0</v>
      </c>
      <c r="P338" s="10">
        <f>IFERROR((1-P337/P336),0)</f>
        <v>0</v>
      </c>
      <c r="Q338" s="10">
        <f>IFERROR((1-Q337/Q336),0)</f>
        <v>0</v>
      </c>
      <c r="S338" s="28"/>
      <c r="T338" s="28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x14ac:dyDescent="0.3">
      <c r="A339" s="70"/>
      <c r="B339" s="70"/>
      <c r="C339" s="70"/>
      <c r="E339" s="5" t="s">
        <v>3</v>
      </c>
      <c r="F339" s="8">
        <v>4</v>
      </c>
      <c r="G339" s="8">
        <v>1</v>
      </c>
      <c r="H339" s="8">
        <v>1</v>
      </c>
      <c r="I339" s="8">
        <v>3</v>
      </c>
      <c r="J339" s="8">
        <v>0</v>
      </c>
      <c r="K339" s="8">
        <v>0</v>
      </c>
      <c r="L339" s="8">
        <v>0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</row>
    <row r="340" spans="1:107" x14ac:dyDescent="0.3">
      <c r="A340" s="70"/>
      <c r="B340" s="70"/>
      <c r="C340" s="70"/>
      <c r="E340" s="5" t="s">
        <v>2</v>
      </c>
      <c r="F340" s="24">
        <f>IFERROR(F336/F325,0)</f>
        <v>0.75989847715736036</v>
      </c>
      <c r="G340" s="24">
        <f>IFERROR(G336/G325,0)</f>
        <v>0.76183206106870227</v>
      </c>
      <c r="H340" s="24">
        <f>IFERROR(H336/H325,0)</f>
        <v>0.76183206106870227</v>
      </c>
      <c r="I340" s="24">
        <f>IFERROR(I336/I325,0)</f>
        <v>0.63647959183673475</v>
      </c>
      <c r="J340" s="24">
        <f>IFERROR(J336/J325,0)</f>
        <v>0.6413881748071979</v>
      </c>
      <c r="K340" s="24">
        <f>IFERROR(K336/K325,0)</f>
        <v>0.25655526992287919</v>
      </c>
      <c r="L340" s="24">
        <f>IFERROR(L336/L325,0)</f>
        <v>0</v>
      </c>
      <c r="M340" s="24">
        <f>IFERROR(M336/M325,0)</f>
        <v>0</v>
      </c>
      <c r="N340" s="24">
        <f>IFERROR(N336/N325,0)</f>
        <v>0</v>
      </c>
      <c r="O340" s="24">
        <f>IFERROR(O336/O325,0)</f>
        <v>0</v>
      </c>
      <c r="P340" s="24">
        <f>IFERROR(P336/P325,0)</f>
        <v>0</v>
      </c>
      <c r="Q340" s="24">
        <f>IFERROR(Q336/Q325,0)</f>
        <v>0</v>
      </c>
    </row>
    <row r="341" spans="1:107" x14ac:dyDescent="0.3">
      <c r="A341" s="70"/>
      <c r="B341" s="70"/>
      <c r="C341" s="70"/>
      <c r="E341" s="5" t="s">
        <v>1</v>
      </c>
      <c r="F341" s="56">
        <v>0</v>
      </c>
      <c r="G341" s="56">
        <v>0</v>
      </c>
      <c r="H341" s="56">
        <v>0</v>
      </c>
      <c r="I341" s="56">
        <v>0</v>
      </c>
      <c r="J341" s="56">
        <v>0</v>
      </c>
      <c r="K341" s="56">
        <v>0</v>
      </c>
      <c r="L341" s="56">
        <v>0</v>
      </c>
      <c r="M341" s="56">
        <v>0</v>
      </c>
      <c r="N341" s="56">
        <v>0</v>
      </c>
      <c r="O341" s="56">
        <v>0</v>
      </c>
      <c r="P341" s="56">
        <v>0</v>
      </c>
      <c r="Q341" s="56">
        <v>0</v>
      </c>
    </row>
    <row r="342" spans="1:107" x14ac:dyDescent="0.3">
      <c r="A342" s="70"/>
      <c r="B342" s="70"/>
      <c r="C342" s="70"/>
      <c r="E342" s="5" t="s">
        <v>0</v>
      </c>
      <c r="F342" s="56">
        <v>0</v>
      </c>
      <c r="G342" s="56">
        <v>0</v>
      </c>
      <c r="H342" s="56">
        <v>0</v>
      </c>
      <c r="I342" s="56">
        <v>0</v>
      </c>
      <c r="J342" s="56">
        <v>0</v>
      </c>
      <c r="K342" s="56">
        <v>0</v>
      </c>
      <c r="L342" s="56">
        <v>0</v>
      </c>
      <c r="M342" s="56">
        <v>0</v>
      </c>
      <c r="N342" s="56">
        <v>0</v>
      </c>
      <c r="O342" s="56">
        <v>0</v>
      </c>
      <c r="P342" s="56">
        <v>0</v>
      </c>
      <c r="Q342" s="56">
        <v>0</v>
      </c>
    </row>
    <row r="343" spans="1:107" s="2" customFormat="1" ht="4.95" hidden="1" customHeight="1" x14ac:dyDescent="0.3">
      <c r="F343" s="55"/>
      <c r="G343" s="55"/>
      <c r="H343" s="55"/>
      <c r="I343" s="61"/>
      <c r="J343" s="55"/>
      <c r="K343" s="60"/>
      <c r="L343" s="29"/>
      <c r="M343" s="29"/>
      <c r="N343" s="29"/>
      <c r="O343" s="29"/>
      <c r="P343" s="29"/>
      <c r="Q343" s="29"/>
      <c r="S343" s="28"/>
      <c r="T343" s="28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s="2" customFormat="1" hidden="1" x14ac:dyDescent="0.3">
      <c r="A344" s="1"/>
      <c r="B344" s="1"/>
      <c r="C344" s="1"/>
      <c r="E344" s="54" t="s">
        <v>33</v>
      </c>
      <c r="F344" s="54" t="s">
        <v>32</v>
      </c>
      <c r="G344" s="54" t="s">
        <v>31</v>
      </c>
      <c r="H344" s="54" t="s">
        <v>30</v>
      </c>
      <c r="I344" s="54" t="s">
        <v>29</v>
      </c>
      <c r="J344" s="54" t="s">
        <v>28</v>
      </c>
      <c r="K344" s="54" t="s">
        <v>27</v>
      </c>
      <c r="L344" s="54" t="s">
        <v>26</v>
      </c>
      <c r="M344" s="54" t="s">
        <v>25</v>
      </c>
      <c r="N344" s="54" t="s">
        <v>24</v>
      </c>
      <c r="O344" s="54" t="s">
        <v>23</v>
      </c>
      <c r="P344" s="54" t="s">
        <v>22</v>
      </c>
      <c r="Q344" s="54" t="s">
        <v>21</v>
      </c>
      <c r="S344" s="28"/>
      <c r="T344" s="28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  <row r="345" spans="1:107" hidden="1" x14ac:dyDescent="0.3">
      <c r="E345" s="5" t="s">
        <v>20</v>
      </c>
      <c r="F345" s="8">
        <v>0</v>
      </c>
      <c r="G345" s="8">
        <v>0</v>
      </c>
      <c r="H345" s="8">
        <v>0</v>
      </c>
      <c r="I345" s="8">
        <v>0</v>
      </c>
      <c r="J345" s="8">
        <v>0</v>
      </c>
      <c r="K345" s="8">
        <v>0</v>
      </c>
      <c r="L345" s="8">
        <v>0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</row>
    <row r="346" spans="1:107" s="2" customFormat="1" hidden="1" x14ac:dyDescent="0.3">
      <c r="A346" s="1"/>
      <c r="B346" s="1"/>
      <c r="C346" s="1"/>
      <c r="E346" s="5" t="s">
        <v>19</v>
      </c>
      <c r="F346" s="8">
        <f>SUM(F347:F348)</f>
        <v>0</v>
      </c>
      <c r="G346" s="8">
        <f>SUM(G347:G348)</f>
        <v>0</v>
      </c>
      <c r="H346" s="8">
        <f>SUM(H347:H348)</f>
        <v>0</v>
      </c>
      <c r="I346" s="8">
        <f>SUM(I347:I348)</f>
        <v>0</v>
      </c>
      <c r="J346" s="8">
        <f>SUM(J347:J348)</f>
        <v>0</v>
      </c>
      <c r="K346" s="8">
        <f>SUM(K347:K348)</f>
        <v>0</v>
      </c>
      <c r="L346" s="8">
        <f>SUM(L347:L348)</f>
        <v>0</v>
      </c>
      <c r="M346" s="8">
        <f>SUM(M347:M348)</f>
        <v>0</v>
      </c>
      <c r="N346" s="8">
        <f>SUM(N347:N348)</f>
        <v>0</v>
      </c>
      <c r="O346" s="8">
        <f>SUM(O347:O348)</f>
        <v>0</v>
      </c>
      <c r="P346" s="8">
        <f>SUM(P347:P348)</f>
        <v>0</v>
      </c>
      <c r="Q346" s="8">
        <f>SUM(Q347:Q348)</f>
        <v>0</v>
      </c>
      <c r="S346" s="28"/>
      <c r="T346" s="28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</row>
    <row r="347" spans="1:107" s="2" customFormat="1" hidden="1" x14ac:dyDescent="0.3">
      <c r="A347" s="1"/>
      <c r="B347" s="1"/>
      <c r="C347" s="1"/>
      <c r="E347" s="14" t="s">
        <v>41</v>
      </c>
      <c r="F347" s="8">
        <v>0</v>
      </c>
      <c r="G347" s="8">
        <v>0</v>
      </c>
      <c r="H347" s="8">
        <v>0</v>
      </c>
      <c r="I347" s="8">
        <v>0</v>
      </c>
      <c r="J347" s="8">
        <v>0</v>
      </c>
      <c r="K347" s="8">
        <v>0</v>
      </c>
      <c r="L347" s="8">
        <v>0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S347" s="28"/>
      <c r="T347" s="28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</row>
    <row r="348" spans="1:107" s="2" customFormat="1" hidden="1" x14ac:dyDescent="0.3">
      <c r="A348" s="1"/>
      <c r="B348" s="1"/>
      <c r="C348" s="1"/>
      <c r="E348" s="14" t="s">
        <v>40</v>
      </c>
      <c r="F348" s="8">
        <v>0</v>
      </c>
      <c r="G348" s="8">
        <v>0</v>
      </c>
      <c r="H348" s="8">
        <v>0</v>
      </c>
      <c r="I348" s="8">
        <v>0</v>
      </c>
      <c r="J348" s="8">
        <v>0</v>
      </c>
      <c r="K348" s="8">
        <v>0</v>
      </c>
      <c r="L348" s="8">
        <v>0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S348" s="28"/>
      <c r="T348" s="28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</row>
    <row r="349" spans="1:107" s="2" customFormat="1" hidden="1" x14ac:dyDescent="0.3">
      <c r="A349" s="1"/>
      <c r="B349" s="1"/>
      <c r="C349" s="1"/>
      <c r="E349" s="5" t="s">
        <v>39</v>
      </c>
      <c r="F349" s="8">
        <f>SUM(F352:F356)</f>
        <v>0</v>
      </c>
      <c r="G349" s="8">
        <f>SUM(G352:G356)</f>
        <v>0</v>
      </c>
      <c r="H349" s="8">
        <f>SUM(H352:H356)</f>
        <v>0</v>
      </c>
      <c r="I349" s="8">
        <f>SUM(I352:I356)</f>
        <v>0</v>
      </c>
      <c r="J349" s="8">
        <f>SUM(J352:J356)</f>
        <v>0</v>
      </c>
      <c r="K349" s="8">
        <f>SUM(K352:K356)</f>
        <v>0</v>
      </c>
      <c r="L349" s="8">
        <f>SUM(L352:L356)</f>
        <v>0</v>
      </c>
      <c r="M349" s="8">
        <f>SUM(M352:M356)</f>
        <v>0</v>
      </c>
      <c r="N349" s="8">
        <f>SUM(N352:N356)</f>
        <v>0</v>
      </c>
      <c r="O349" s="8">
        <f>SUM(O352:O356)</f>
        <v>0</v>
      </c>
      <c r="P349" s="8">
        <f>SUM(P352:P356)</f>
        <v>0</v>
      </c>
      <c r="Q349" s="8">
        <f>SUM(Q352:Q356)</f>
        <v>0</v>
      </c>
      <c r="S349" s="28"/>
      <c r="T349" s="28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</row>
    <row r="350" spans="1:107" s="2" customFormat="1" hidden="1" x14ac:dyDescent="0.3">
      <c r="A350" s="1"/>
      <c r="B350" s="1"/>
      <c r="C350" s="1"/>
      <c r="E350" s="5" t="s">
        <v>15</v>
      </c>
      <c r="F350" s="8">
        <v>0</v>
      </c>
      <c r="G350" s="8">
        <v>0</v>
      </c>
      <c r="H350" s="8">
        <v>0</v>
      </c>
      <c r="I350" s="8">
        <v>0</v>
      </c>
      <c r="J350" s="8">
        <v>0</v>
      </c>
      <c r="K350" s="8">
        <v>0</v>
      </c>
      <c r="L350" s="8">
        <v>0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S350" s="28"/>
      <c r="T350" s="28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</row>
    <row r="351" spans="1:107" s="2" customFormat="1" hidden="1" x14ac:dyDescent="0.3">
      <c r="A351" s="1"/>
      <c r="B351" s="1"/>
      <c r="C351" s="1"/>
      <c r="E351" s="5" t="s">
        <v>14</v>
      </c>
      <c r="F351" s="10">
        <f>IFERROR(F349/'Relatório Indicadores 24'!Q151,0)</f>
        <v>0</v>
      </c>
      <c r="G351" s="10">
        <f>IFERROR(G349/'Relatório Indicadores 24'!R151,0)</f>
        <v>0</v>
      </c>
      <c r="H351" s="10">
        <f>IFERROR(H349/'Relatório Indicadores 24'!S151,0)</f>
        <v>0</v>
      </c>
      <c r="I351" s="10">
        <f>IFERROR(I349/'Relatório Indicadores 24'!T151,0)</f>
        <v>0</v>
      </c>
      <c r="J351" s="10">
        <f>IFERROR(J349/'Relatório Indicadores 24'!U151,0)</f>
        <v>0</v>
      </c>
      <c r="K351" s="10">
        <f>IFERROR(K349/'Relatório Indicadores 24'!V151,0)</f>
        <v>0</v>
      </c>
      <c r="L351" s="10">
        <f>IFERROR(L349/'Relatório Indicadores 24'!W151,0)</f>
        <v>0</v>
      </c>
      <c r="M351" s="10">
        <f>IFERROR(M349/'Relatório Indicadores 24'!X151,0)</f>
        <v>0</v>
      </c>
      <c r="N351" s="10">
        <f>IFERROR(N349/'Relatório Indicadores 24'!Y151,0)</f>
        <v>0</v>
      </c>
      <c r="O351" s="10">
        <f>IFERROR(O349/'Relatório Indicadores 24'!Z151,0)</f>
        <v>0</v>
      </c>
      <c r="P351" s="10">
        <f>IFERROR(P349/'Relatório Indicadores 24'!AA151,0)</f>
        <v>0</v>
      </c>
      <c r="Q351" s="10">
        <f>IFERROR(Q349/'Relatório Indicadores 24'!AB151,0)</f>
        <v>0</v>
      </c>
      <c r="S351" s="28"/>
      <c r="T351" s="28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</row>
    <row r="352" spans="1:107" s="2" customFormat="1" hidden="1" x14ac:dyDescent="0.3">
      <c r="A352" s="1"/>
      <c r="B352" s="1"/>
      <c r="C352" s="1"/>
      <c r="E352" s="5" t="s">
        <v>13</v>
      </c>
      <c r="F352" s="8">
        <v>0</v>
      </c>
      <c r="G352" s="8">
        <v>0</v>
      </c>
      <c r="H352" s="8">
        <v>0</v>
      </c>
      <c r="I352" s="8">
        <v>0</v>
      </c>
      <c r="J352" s="8">
        <v>0</v>
      </c>
      <c r="K352" s="8">
        <v>0</v>
      </c>
      <c r="L352" s="8">
        <v>0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S352" s="28"/>
      <c r="T352" s="28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</row>
    <row r="353" spans="1:107" s="2" customFormat="1" hidden="1" x14ac:dyDescent="0.3">
      <c r="A353" s="1"/>
      <c r="B353" s="1"/>
      <c r="C353" s="1"/>
      <c r="E353" s="5" t="s">
        <v>12</v>
      </c>
      <c r="F353" s="8">
        <v>0</v>
      </c>
      <c r="G353" s="8">
        <v>0</v>
      </c>
      <c r="H353" s="8">
        <v>0</v>
      </c>
      <c r="I353" s="8">
        <v>0</v>
      </c>
      <c r="J353" s="8">
        <v>0</v>
      </c>
      <c r="K353" s="8">
        <v>0</v>
      </c>
      <c r="L353" s="8">
        <v>0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S353" s="28"/>
      <c r="T353" s="28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</row>
    <row r="354" spans="1:107" s="2" customFormat="1" hidden="1" x14ac:dyDescent="0.3">
      <c r="A354" s="1"/>
      <c r="B354" s="1"/>
      <c r="C354" s="1"/>
      <c r="E354" s="5" t="s">
        <v>11</v>
      </c>
      <c r="F354" s="8">
        <v>0</v>
      </c>
      <c r="G354" s="8">
        <v>0</v>
      </c>
      <c r="H354" s="8">
        <v>0</v>
      </c>
      <c r="I354" s="8">
        <v>0</v>
      </c>
      <c r="J354" s="8">
        <v>0</v>
      </c>
      <c r="K354" s="8">
        <v>0</v>
      </c>
      <c r="L354" s="8">
        <v>0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S354" s="28"/>
      <c r="T354" s="28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</row>
    <row r="355" spans="1:107" s="2" customFormat="1" hidden="1" x14ac:dyDescent="0.3">
      <c r="A355" s="1"/>
      <c r="B355" s="1"/>
      <c r="C355" s="1"/>
      <c r="E355" s="5" t="s">
        <v>50</v>
      </c>
      <c r="F355" s="42">
        <v>0</v>
      </c>
      <c r="G355" s="42">
        <v>0</v>
      </c>
      <c r="H355" s="42">
        <v>0</v>
      </c>
      <c r="I355" s="42">
        <v>0</v>
      </c>
      <c r="J355" s="42">
        <v>0</v>
      </c>
      <c r="K355" s="42">
        <v>0</v>
      </c>
      <c r="L355" s="42">
        <v>0</v>
      </c>
      <c r="M355" s="42">
        <v>0</v>
      </c>
      <c r="N355" s="42">
        <v>0</v>
      </c>
      <c r="O355" s="42">
        <v>0</v>
      </c>
      <c r="P355" s="42">
        <v>0</v>
      </c>
      <c r="Q355" s="42">
        <v>0</v>
      </c>
      <c r="S355" s="28"/>
      <c r="T355" s="28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</row>
    <row r="356" spans="1:107" s="2" customFormat="1" hidden="1" x14ac:dyDescent="0.3">
      <c r="A356" s="1"/>
      <c r="B356" s="1"/>
      <c r="C356" s="1"/>
      <c r="E356" s="5" t="s">
        <v>46</v>
      </c>
      <c r="F356" s="42">
        <v>0</v>
      </c>
      <c r="G356" s="42">
        <v>0</v>
      </c>
      <c r="H356" s="42">
        <v>0</v>
      </c>
      <c r="I356" s="42">
        <v>0</v>
      </c>
      <c r="J356" s="42">
        <v>0</v>
      </c>
      <c r="K356" s="42">
        <v>0</v>
      </c>
      <c r="L356" s="42">
        <v>0</v>
      </c>
      <c r="M356" s="42">
        <v>0</v>
      </c>
      <c r="N356" s="42">
        <v>0</v>
      </c>
      <c r="O356" s="42">
        <v>0</v>
      </c>
      <c r="P356" s="42">
        <v>0</v>
      </c>
      <c r="Q356" s="42">
        <v>0</v>
      </c>
      <c r="S356" s="28"/>
      <c r="T356" s="28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</row>
    <row r="357" spans="1:107" s="2" customFormat="1" hidden="1" x14ac:dyDescent="0.3">
      <c r="A357" s="1"/>
      <c r="B357" s="1"/>
      <c r="C357" s="1"/>
      <c r="E357" s="5" t="s">
        <v>6</v>
      </c>
      <c r="F357" s="23">
        <v>0</v>
      </c>
      <c r="G357" s="23">
        <v>82.03</v>
      </c>
      <c r="H357" s="23">
        <v>0</v>
      </c>
      <c r="I357" s="23">
        <v>0</v>
      </c>
      <c r="J357" s="23">
        <v>0</v>
      </c>
      <c r="K357" s="23">
        <v>0</v>
      </c>
      <c r="L357" s="23">
        <v>0</v>
      </c>
      <c r="M357" s="23">
        <v>0</v>
      </c>
      <c r="N357" s="23">
        <v>0</v>
      </c>
      <c r="O357" s="23">
        <v>0</v>
      </c>
      <c r="P357" s="23">
        <v>0</v>
      </c>
      <c r="Q357" s="23">
        <v>0</v>
      </c>
      <c r="S357" s="28"/>
      <c r="T357" s="28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</row>
    <row r="358" spans="1:107" s="2" customFormat="1" hidden="1" x14ac:dyDescent="0.3">
      <c r="A358" s="1"/>
      <c r="B358" s="1"/>
      <c r="C358" s="1"/>
      <c r="E358" s="5" t="s">
        <v>5</v>
      </c>
      <c r="F358" s="23">
        <v>0</v>
      </c>
      <c r="G358" s="23">
        <v>82.03</v>
      </c>
      <c r="H358" s="23">
        <v>0</v>
      </c>
      <c r="I358" s="23">
        <v>0</v>
      </c>
      <c r="J358" s="23">
        <v>0</v>
      </c>
      <c r="K358" s="23">
        <v>0</v>
      </c>
      <c r="L358" s="23">
        <v>0</v>
      </c>
      <c r="M358" s="23">
        <v>0</v>
      </c>
      <c r="N358" s="23">
        <v>0</v>
      </c>
      <c r="O358" s="23">
        <v>0</v>
      </c>
      <c r="P358" s="23">
        <v>0</v>
      </c>
      <c r="Q358" s="23">
        <v>0</v>
      </c>
      <c r="S358" s="28"/>
      <c r="T358" s="28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</row>
    <row r="359" spans="1:107" s="2" customFormat="1" hidden="1" x14ac:dyDescent="0.3">
      <c r="A359" s="1"/>
      <c r="B359" s="1"/>
      <c r="C359" s="1"/>
      <c r="E359" s="5" t="s">
        <v>49</v>
      </c>
      <c r="F359" s="10">
        <f>IFERROR((1-F358/F357),0)</f>
        <v>0</v>
      </c>
      <c r="G359" s="10">
        <f>IFERROR((1-G358/G357),0)</f>
        <v>0</v>
      </c>
      <c r="H359" s="10">
        <f>IFERROR((1-H358/H357),0)</f>
        <v>0</v>
      </c>
      <c r="I359" s="10">
        <f>IFERROR((1-I358/I357),0)</f>
        <v>0</v>
      </c>
      <c r="J359" s="10">
        <f>IFERROR((1-J358/J357),0)</f>
        <v>0</v>
      </c>
      <c r="K359" s="10">
        <f>IFERROR((1-K358/K357),0)</f>
        <v>0</v>
      </c>
      <c r="L359" s="10">
        <f>IFERROR((1-L358/L357),0)</f>
        <v>0</v>
      </c>
      <c r="M359" s="10">
        <f>IFERROR((1-M358/M357),0)</f>
        <v>0</v>
      </c>
      <c r="N359" s="10">
        <f>IFERROR((1-N358/N357),0)</f>
        <v>0</v>
      </c>
      <c r="O359" s="10">
        <f>IFERROR((1-O358/O357),0)</f>
        <v>0</v>
      </c>
      <c r="P359" s="10">
        <f>IFERROR((1-P358/P357),0)</f>
        <v>0</v>
      </c>
      <c r="Q359" s="10">
        <f>IFERROR((1-Q358/Q357),0)</f>
        <v>0</v>
      </c>
      <c r="S359" s="28"/>
      <c r="T359" s="28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</row>
    <row r="360" spans="1:107" hidden="1" x14ac:dyDescent="0.3">
      <c r="E360" s="5" t="s">
        <v>3</v>
      </c>
      <c r="F360" s="8">
        <v>0</v>
      </c>
      <c r="G360" s="8">
        <v>0</v>
      </c>
      <c r="H360" s="8">
        <v>0</v>
      </c>
      <c r="I360" s="8">
        <v>0</v>
      </c>
      <c r="J360" s="8">
        <v>0</v>
      </c>
      <c r="K360" s="8">
        <v>0</v>
      </c>
      <c r="L360" s="8">
        <v>0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</row>
    <row r="361" spans="1:107" hidden="1" x14ac:dyDescent="0.3">
      <c r="E361" s="5" t="s">
        <v>2</v>
      </c>
      <c r="F361" s="24">
        <f>IFERROR(F357/F346,0)</f>
        <v>0</v>
      </c>
      <c r="G361" s="24">
        <f>IFERROR(G357/G346,0)</f>
        <v>0</v>
      </c>
      <c r="H361" s="24">
        <f>IFERROR(H357/H346,0)</f>
        <v>0</v>
      </c>
      <c r="I361" s="24">
        <f>IFERROR(I357/I346,0)</f>
        <v>0</v>
      </c>
      <c r="J361" s="24">
        <f>IFERROR(J357/J346,0)</f>
        <v>0</v>
      </c>
      <c r="K361" s="24">
        <f>IFERROR(K357/K346,0)</f>
        <v>0</v>
      </c>
      <c r="L361" s="24">
        <f>IFERROR(L357/L346,0)</f>
        <v>0</v>
      </c>
      <c r="M361" s="24">
        <f>IFERROR(M357/M346,0)</f>
        <v>0</v>
      </c>
      <c r="N361" s="24">
        <f>IFERROR(N357/N346,0)</f>
        <v>0</v>
      </c>
      <c r="O361" s="24">
        <f>IFERROR(O357/O346,0)</f>
        <v>0</v>
      </c>
      <c r="P361" s="24">
        <f>IFERROR(P357/P346,0)</f>
        <v>0</v>
      </c>
      <c r="Q361" s="24">
        <f>IFERROR(Q357/Q346,0)</f>
        <v>0</v>
      </c>
    </row>
    <row r="362" spans="1:107" hidden="1" x14ac:dyDescent="0.3">
      <c r="E362" s="5" t="s">
        <v>1</v>
      </c>
      <c r="F362" s="56">
        <v>0</v>
      </c>
      <c r="G362" s="56">
        <v>0</v>
      </c>
      <c r="H362" s="56">
        <v>0</v>
      </c>
      <c r="I362" s="56">
        <v>0</v>
      </c>
      <c r="J362" s="56">
        <v>0</v>
      </c>
      <c r="K362" s="56">
        <v>0</v>
      </c>
      <c r="L362" s="56">
        <v>0</v>
      </c>
      <c r="M362" s="56">
        <v>0</v>
      </c>
      <c r="N362" s="56">
        <v>0</v>
      </c>
      <c r="O362" s="56">
        <v>0</v>
      </c>
      <c r="P362" s="56">
        <v>0</v>
      </c>
      <c r="Q362" s="56">
        <v>0</v>
      </c>
    </row>
    <row r="363" spans="1:107" hidden="1" x14ac:dyDescent="0.3">
      <c r="E363" s="5" t="s">
        <v>0</v>
      </c>
      <c r="F363" s="56">
        <v>0</v>
      </c>
      <c r="G363" s="56">
        <v>0</v>
      </c>
      <c r="H363" s="56">
        <v>0</v>
      </c>
      <c r="I363" s="56">
        <v>0</v>
      </c>
      <c r="J363" s="56">
        <v>0</v>
      </c>
      <c r="K363" s="56">
        <v>0</v>
      </c>
      <c r="L363" s="56">
        <v>0</v>
      </c>
      <c r="M363" s="56">
        <v>0</v>
      </c>
      <c r="N363" s="56">
        <v>0</v>
      </c>
      <c r="O363" s="56">
        <v>0</v>
      </c>
      <c r="P363" s="56">
        <v>0</v>
      </c>
      <c r="Q363" s="56">
        <v>0</v>
      </c>
    </row>
    <row r="364" spans="1:107" s="2" customFormat="1" ht="3.6" customHeight="1" x14ac:dyDescent="0.3">
      <c r="F364" s="55"/>
      <c r="G364" s="55"/>
      <c r="H364" s="55"/>
      <c r="I364" s="61"/>
      <c r="J364" s="55"/>
      <c r="K364" s="60"/>
      <c r="L364" s="29"/>
      <c r="M364" s="29"/>
      <c r="N364" s="29"/>
      <c r="O364" s="29"/>
      <c r="P364" s="29"/>
      <c r="Q364" s="29"/>
      <c r="S364" s="28"/>
      <c r="T364" s="28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Relatório Indicadores 21</vt:lpstr>
      <vt:lpstr>Relatório Indicadores 22</vt:lpstr>
      <vt:lpstr>Relatório Indicadores 23</vt:lpstr>
      <vt:lpstr>Relatório Indicadores 24</vt:lpstr>
      <vt:lpstr>Relatório Indicadores 25</vt:lpstr>
      <vt:lpstr>Relatório Indicadores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Ativação</dc:creator>
  <cp:lastModifiedBy>Ativação</cp:lastModifiedBy>
  <dcterms:created xsi:type="dcterms:W3CDTF">2026-06-09T11:54:05Z</dcterms:created>
  <dcterms:modified xsi:type="dcterms:W3CDTF">2026-06-09T11:56:09Z</dcterms:modified>
</cp:coreProperties>
</file>